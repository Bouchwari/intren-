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D85584-51CF-4F92-8CFB-79DAC6777E1D}" xr6:coauthVersionLast="47" xr6:coauthVersionMax="47" xr10:uidLastSave="{00000000-0000-0000-0000-000000000000}"/>
  <bookViews>
    <workbookView xWindow="-110" yWindow="-110" windowWidth="19420" windowHeight="11020" activeTab="2" xr2:uid="{EAFAFEB2-8430-421C-A390-181628BC996B}"/>
  </bookViews>
  <sheets>
    <sheet name="MOIS 01 2026" sheetId="6" r:id="rId1"/>
    <sheet name="MOIS 02 2026" sheetId="2" r:id="rId2"/>
    <sheet name="MOIS 03 2026" sheetId="8" r:id="rId3"/>
    <sheet name="RECAP A IMPRIMER" sheetId="1" r:id="rId4"/>
  </sheets>
  <definedNames>
    <definedName name="_xlnm.Print_Area" localSheetId="3">'RECAP A IMPRIMER'!$A$1:$H$45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6" l="1"/>
  <c r="H35" i="6"/>
  <c r="G35" i="6"/>
  <c r="D35" i="6"/>
  <c r="C35" i="6"/>
  <c r="B35" i="6"/>
  <c r="I32" i="2"/>
  <c r="H32" i="2"/>
  <c r="G32" i="2"/>
  <c r="D32" i="2"/>
  <c r="C32" i="2"/>
  <c r="B32" i="2"/>
  <c r="Q35" i="8"/>
  <c r="P35" i="8"/>
  <c r="M35" i="8"/>
  <c r="E25" i="1" s="1"/>
  <c r="L35" i="8"/>
  <c r="E24" i="1" s="1"/>
  <c r="B35" i="8"/>
  <c r="C35" i="8"/>
  <c r="D35" i="8"/>
  <c r="G35" i="8"/>
  <c r="H35" i="8"/>
  <c r="I35" i="8"/>
  <c r="E21" i="1" l="1"/>
  <c r="E30" i="1"/>
  <c r="E31" i="1"/>
  <c r="E32" i="1"/>
  <c r="E22" i="1"/>
  <c r="E23" i="1"/>
  <c r="E33" i="1"/>
  <c r="E34" i="1"/>
</calcChain>
</file>

<file path=xl/sharedStrings.xml><?xml version="1.0" encoding="utf-8"?>
<sst xmlns="http://schemas.openxmlformats.org/spreadsheetml/2006/main" count="109" uniqueCount="48">
  <si>
    <t>Nous soussignons :</t>
  </si>
  <si>
    <t>Nom et Prénom</t>
  </si>
  <si>
    <t>Fonction</t>
  </si>
  <si>
    <t>Le directeur de l’établissement</t>
  </si>
  <si>
    <t>Le gestionnaire des S.M.F</t>
  </si>
  <si>
    <r>
      <t>Le nombre des repas servis</t>
    </r>
    <r>
      <rPr>
        <sz val="16"/>
        <color theme="1"/>
        <rFont val="Arial"/>
        <family val="2"/>
      </rPr>
      <t> :</t>
    </r>
  </si>
  <si>
    <t>N° Article</t>
  </si>
  <si>
    <t>Désignations des articles</t>
  </si>
  <si>
    <t>U.M</t>
  </si>
  <si>
    <t>Le Petit déjeuner</t>
  </si>
  <si>
    <t>U</t>
  </si>
  <si>
    <t>Le déjeuner</t>
  </si>
  <si>
    <t>Le diner</t>
  </si>
  <si>
    <t>Le Directeur de l’établissement</t>
  </si>
  <si>
    <t>Le Gestionnaire de S.M.F</t>
  </si>
  <si>
    <t>Contresigné par le directeur Provincial ;</t>
  </si>
  <si>
    <t>à hauteur des quantités suivantes :</t>
  </si>
  <si>
    <t>Nbre de repas servis</t>
  </si>
  <si>
    <t>JOURS</t>
  </si>
  <si>
    <t>DEJEUNER</t>
  </si>
  <si>
    <t>DINER</t>
  </si>
  <si>
    <t>PETIT DEJ,</t>
  </si>
  <si>
    <t>TOTAL</t>
  </si>
  <si>
    <r>
      <t>Le nombre des repas servis</t>
    </r>
    <r>
      <rPr>
        <sz val="11"/>
        <color theme="1"/>
        <rFont val="Arial"/>
        <family val="2"/>
      </rPr>
      <t> </t>
    </r>
  </si>
  <si>
    <t>902 (QUALIFIANT)</t>
  </si>
  <si>
    <t>PRIMAIRE ET COLLEGIAL</t>
  </si>
  <si>
    <t>QUALIFANT</t>
  </si>
  <si>
    <t>901 (PRIMAIRE ET COLLEGIAL)</t>
  </si>
  <si>
    <r>
      <t xml:space="preserve">902 </t>
    </r>
    <r>
      <rPr>
        <b/>
        <sz val="11"/>
        <color rgb="FFFF0000"/>
        <rFont val="Calibri"/>
        <family val="2"/>
        <scheme val="minor"/>
      </rPr>
      <t>(QUALIFIANT)</t>
    </r>
  </si>
  <si>
    <t>Attestation de réception</t>
  </si>
  <si>
    <t xml:space="preserve">   …........................................................................................</t>
  </si>
  <si>
    <r>
      <t>Le nombre des repas servis</t>
    </r>
    <r>
      <rPr>
        <sz val="16"/>
        <color theme="1"/>
        <rFont val="Carlito"/>
        <family val="2"/>
      </rPr>
      <t> :</t>
    </r>
  </si>
  <si>
    <t xml:space="preserve">             Remarques :</t>
  </si>
  <si>
    <r>
      <t>Ayant pour Objet : Prestation de restauration au profit de</t>
    </r>
    <r>
      <rPr>
        <b/>
        <sz val="14"/>
        <color theme="1"/>
        <rFont val="Carlito"/>
        <family val="2"/>
      </rPr>
      <t xml:space="preserve"> l’internat (cantine)</t>
    </r>
    <r>
      <rPr>
        <sz val="14"/>
        <color theme="1"/>
        <rFont val="Carlito"/>
        <family val="2"/>
      </rPr>
      <t xml:space="preserve"> du :</t>
    </r>
  </si>
  <si>
    <t>............................................................................................................................................................................................</t>
  </si>
  <si>
    <t>FTOUR</t>
  </si>
  <si>
    <t>SHOUR</t>
  </si>
  <si>
    <t>Ftour</t>
  </si>
  <si>
    <t>Shour</t>
  </si>
  <si>
    <t>ANNEE: 2025-2026</t>
  </si>
  <si>
    <t>LES MOIS: JANVIER-FEVRIER-MARS-  2026</t>
  </si>
  <si>
    <r>
      <t xml:space="preserve">     Attestons que les prestations exécutés durant les mois :</t>
    </r>
    <r>
      <rPr>
        <b/>
        <sz val="14"/>
        <color theme="1"/>
        <rFont val="Carlito"/>
        <family val="2"/>
      </rPr>
      <t>01-02-03 année 2026</t>
    </r>
  </si>
  <si>
    <r>
      <t>Conformément aux spécifications techniques exigées par le marché
                                                   N°:</t>
    </r>
    <r>
      <rPr>
        <b/>
        <u/>
        <sz val="16"/>
        <color theme="1"/>
        <rFont val="Carlito"/>
        <family val="2"/>
      </rPr>
      <t>08/MDD-TIN/2023</t>
    </r>
  </si>
  <si>
    <r>
      <t xml:space="preserve">      Ont été réellement exécutées par la Sté :</t>
    </r>
    <r>
      <rPr>
        <b/>
        <sz val="14"/>
        <color theme="1"/>
        <rFont val="Carlito"/>
        <family val="2"/>
      </rPr>
      <t xml:space="preserve"> </t>
    </r>
    <r>
      <rPr>
        <b/>
        <u/>
        <sz val="14"/>
        <color theme="1"/>
        <rFont val="Carlito"/>
        <family val="2"/>
      </rPr>
      <t>AIT KHOUYA ELMAHDI</t>
    </r>
  </si>
  <si>
    <t>MOHAMED EL KHAMOUYE</t>
  </si>
  <si>
    <t>ABDELLAH BOUCHOUARI</t>
  </si>
  <si>
    <t xml:space="preserve">    Fait à IGHILE N'OUMGOUNE Le :30/03/2026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</si>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</sst>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theme="1"/>
      <name val="Carlito"/>
      <family val="2"/>
    </font>
    <font>
      <b/>
      <sz val="14"/>
      <color theme="1"/>
      <name val="Carlito"/>
      <family val="2"/>
    </font>
    <font>
      <b/>
      <sz val="18"/>
      <color theme="1"/>
      <name val="Carlito"/>
      <family val="2"/>
    </font>
    <font>
      <sz val="14"/>
      <color theme="1"/>
      <name val="Carlito"/>
      <family val="2"/>
    </font>
    <font>
      <sz val="11"/>
      <color theme="1"/>
      <name val="Carlito"/>
      <family val="2"/>
    </font>
    <font>
      <sz val="16"/>
      <color theme="1"/>
      <name val="Carlito"/>
      <family val="2"/>
    </font>
    <font>
      <sz val="12"/>
      <color theme="1"/>
      <name val="Carlito"/>
      <family val="2"/>
    </font>
    <font>
      <b/>
      <sz val="12"/>
      <color theme="1"/>
      <name val="Carlito"/>
      <family val="2"/>
    </font>
    <font>
      <b/>
      <u/>
      <sz val="14"/>
      <color theme="1"/>
      <name val="Carlito"/>
      <family val="2"/>
    </font>
    <font>
      <b/>
      <u/>
      <sz val="16"/>
      <color theme="1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9EC8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right" vertical="center" wrapText="1"/>
    </xf>
    <xf numFmtId="0" fontId="0" fillId="0" borderId="14" xfId="0" applyBorder="1"/>
    <xf numFmtId="0" fontId="1" fillId="0" borderId="14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164" fontId="1" fillId="11" borderId="14" xfId="0" applyNumberFormat="1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1" fillId="5" borderId="14" xfId="0" applyNumberFormat="1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 vertical="center"/>
    </xf>
    <xf numFmtId="0" fontId="0" fillId="11" borderId="14" xfId="0" applyFill="1" applyBorder="1"/>
    <xf numFmtId="0" fontId="0" fillId="11" borderId="14" xfId="0" applyFill="1" applyBorder="1" applyAlignment="1">
      <alignment horizontal="center"/>
    </xf>
    <xf numFmtId="0" fontId="1" fillId="5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readingOrder="2"/>
    </xf>
    <xf numFmtId="0" fontId="10" fillId="4" borderId="0" xfId="0" applyFont="1" applyFill="1" applyAlignment="1">
      <alignment horizontal="center" vertical="center" readingOrder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3" fillId="0" borderId="12" xfId="0" applyFont="1" applyBorder="1" applyAlignment="1">
      <alignment horizontal="left" vertical="center"/>
    </xf>
    <xf numFmtId="0" fontId="11" fillId="9" borderId="8" xfId="0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9E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35</xdr:row>
      <xdr:rowOff>57150</xdr:rowOff>
    </xdr:from>
    <xdr:to>
      <xdr:col>17</xdr:col>
      <xdr:colOff>66675</xdr:colOff>
      <xdr:row>38</xdr:row>
      <xdr:rowOff>57150</xdr:rowOff>
    </xdr:to>
    <xdr:sp macro="" textlink="">
      <xdr:nvSpPr>
        <xdr:cNvPr id="3" name="Parchemin : horizontal 2">
          <a:extLst>
            <a:ext uri="{FF2B5EF4-FFF2-40B4-BE49-F238E27FC236}">
              <a16:creationId xmlns:a16="http://schemas.microsoft.com/office/drawing/2014/main" id="{F8CE6ED5-7AFA-4AC1-9C8F-0F070DF7296F}"/>
            </a:ext>
          </a:extLst>
        </xdr:cNvPr>
        <xdr:cNvSpPr/>
      </xdr:nvSpPr>
      <xdr:spPr>
        <a:xfrm>
          <a:off x="7791450" y="6724650"/>
          <a:ext cx="4924425" cy="571500"/>
        </a:xfrm>
        <a:prstGeom prst="horizontalScroll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>
              <a:solidFill>
                <a:srgbClr val="C00000"/>
              </a:solidFill>
            </a:rPr>
            <a:t>RAMADAN</a:t>
          </a:r>
          <a:endParaRPr lang="fr-FR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173183</xdr:colOff>
      <xdr:row>0</xdr:row>
      <xdr:rowOff>74194</xdr:rowOff>
    </xdr:from>
    <xdr:to>
      <xdr:col>7</xdr:col>
      <xdr:colOff>1073727</xdr:colOff>
      <xdr:row>4</xdr:row>
      <xdr:rowOff>106647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D5BE7A9-C019-CC7D-1BBC-C6DC3DD29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3" y="74194"/>
          <a:ext cx="6234544" cy="794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C556-C275-4D91-AC7E-87511C711FE6}">
  <sheetPr>
    <tabColor theme="9" tint="0.59999389629810485"/>
  </sheetPr>
  <dimension ref="A1:I35"/>
  <sheetViews>
    <sheetView topLeftCell="A16" workbookViewId="0">
      <selection activeCell="B3" sqref="A1:I35"/>
    </sheetView>
  </sheetViews>
  <sheetFormatPr defaultColWidth="10.90625" defaultRowHeight="14.5"/>
  <cols>
    <col min="1" max="1" width="27.1796875" bestFit="1" customWidth="1"/>
    <col min="2" max="2" width="9.7265625" bestFit="1" customWidth="1"/>
    <col min="5" max="5" width="4.81640625" customWidth="1"/>
  </cols>
  <sheetData>
    <row r="1" spans="1:9">
      <c r="A1" s="27" t="s">
        <v>27</v>
      </c>
      <c r="B1" s="27"/>
      <c r="C1" s="27"/>
      <c r="D1" s="27"/>
      <c r="E1" s="29"/>
      <c r="F1" s="27" t="s">
        <v>24</v>
      </c>
      <c r="G1" s="27"/>
      <c r="H1" s="27"/>
      <c r="I1" s="27"/>
    </row>
    <row r="2" spans="1:9">
      <c r="A2" s="28" t="s">
        <v>23</v>
      </c>
      <c r="B2" s="28"/>
      <c r="C2" s="28"/>
      <c r="D2" s="28"/>
      <c r="E2" s="30"/>
      <c r="F2" s="28" t="s">
        <v>23</v>
      </c>
      <c r="G2" s="28"/>
      <c r="H2" s="28"/>
      <c r="I2" s="28"/>
    </row>
    <row r="3" spans="1:9">
      <c r="A3" s="6" t="s">
        <v>18</v>
      </c>
      <c r="B3" s="6" t="s">
        <v>21</v>
      </c>
      <c r="C3" s="6" t="s">
        <v>19</v>
      </c>
      <c r="D3" s="6" t="s">
        <v>20</v>
      </c>
      <c r="E3" s="30"/>
      <c r="F3" s="6" t="s">
        <v>18</v>
      </c>
      <c r="G3" s="6" t="s">
        <v>21</v>
      </c>
      <c r="H3" s="6" t="s">
        <v>19</v>
      </c>
      <c r="I3" s="6" t="s">
        <v>20</v>
      </c>
    </row>
    <row r="4" spans="1:9">
      <c r="A4" s="8">
        <v>46023</v>
      </c>
      <c r="B4" s="5">
        <v>366</v>
      </c>
      <c r="C4" s="5">
        <v>366</v>
      </c>
      <c r="D4" s="5">
        <v>366</v>
      </c>
      <c r="E4" s="30"/>
      <c r="F4" s="6">
        <v>1</v>
      </c>
      <c r="G4" s="5">
        <v>5</v>
      </c>
      <c r="H4" s="5">
        <v>5</v>
      </c>
      <c r="I4" s="5">
        <v>5</v>
      </c>
    </row>
    <row r="5" spans="1:9">
      <c r="A5" s="8">
        <v>46024</v>
      </c>
      <c r="B5" s="5">
        <v>366</v>
      </c>
      <c r="C5" s="5">
        <v>366</v>
      </c>
      <c r="D5" s="5">
        <v>366</v>
      </c>
      <c r="E5" s="30"/>
      <c r="F5" s="6">
        <v>2</v>
      </c>
      <c r="G5" s="5">
        <v>5</v>
      </c>
      <c r="H5" s="5">
        <v>5</v>
      </c>
      <c r="I5" s="5">
        <v>5</v>
      </c>
    </row>
    <row r="6" spans="1:9">
      <c r="A6" s="8">
        <v>46025</v>
      </c>
      <c r="B6" s="5">
        <v>366</v>
      </c>
      <c r="C6" s="5">
        <v>366</v>
      </c>
      <c r="D6" s="5">
        <v>366</v>
      </c>
      <c r="E6" s="30"/>
      <c r="F6" s="6">
        <v>3</v>
      </c>
      <c r="G6" s="5">
        <v>5</v>
      </c>
      <c r="H6" s="5">
        <v>5</v>
      </c>
      <c r="I6" s="5">
        <v>5</v>
      </c>
    </row>
    <row r="7" spans="1:9">
      <c r="A7" s="16">
        <v>46026</v>
      </c>
      <c r="B7" s="25">
        <v>340</v>
      </c>
      <c r="C7" s="25">
        <v>340</v>
      </c>
      <c r="D7" s="25">
        <v>350</v>
      </c>
      <c r="E7" s="30"/>
      <c r="F7" s="17">
        <v>4</v>
      </c>
      <c r="G7" s="25">
        <v>1</v>
      </c>
      <c r="H7" s="25">
        <v>2</v>
      </c>
      <c r="I7" s="25">
        <v>3</v>
      </c>
    </row>
    <row r="8" spans="1:9">
      <c r="A8" s="8">
        <v>46027</v>
      </c>
      <c r="B8" s="5">
        <v>360</v>
      </c>
      <c r="C8" s="5">
        <v>366</v>
      </c>
      <c r="D8" s="5">
        <v>366</v>
      </c>
      <c r="E8" s="30"/>
      <c r="F8" s="6">
        <v>5</v>
      </c>
      <c r="G8" s="5">
        <v>5</v>
      </c>
      <c r="H8" s="5">
        <v>5</v>
      </c>
      <c r="I8" s="5">
        <v>5</v>
      </c>
    </row>
    <row r="9" spans="1:9">
      <c r="A9" s="8">
        <v>46028</v>
      </c>
      <c r="B9" s="5">
        <v>366</v>
      </c>
      <c r="C9" s="5">
        <v>366</v>
      </c>
      <c r="D9" s="5">
        <v>366</v>
      </c>
      <c r="E9" s="30"/>
      <c r="F9" s="6">
        <v>6</v>
      </c>
      <c r="G9" s="5">
        <v>5</v>
      </c>
      <c r="H9" s="5">
        <v>5</v>
      </c>
      <c r="I9" s="5">
        <v>5</v>
      </c>
    </row>
    <row r="10" spans="1:9">
      <c r="A10" s="8">
        <v>46029</v>
      </c>
      <c r="B10" s="5">
        <v>366</v>
      </c>
      <c r="C10" s="5">
        <v>366</v>
      </c>
      <c r="D10" s="5">
        <v>366</v>
      </c>
      <c r="E10" s="30"/>
      <c r="F10" s="6">
        <v>7</v>
      </c>
      <c r="G10" s="5">
        <v>5</v>
      </c>
      <c r="H10" s="5">
        <v>5</v>
      </c>
      <c r="I10" s="5">
        <v>5</v>
      </c>
    </row>
    <row r="11" spans="1:9">
      <c r="A11" s="8">
        <v>46030</v>
      </c>
      <c r="B11" s="5">
        <v>366</v>
      </c>
      <c r="C11" s="5">
        <v>366</v>
      </c>
      <c r="D11" s="5">
        <v>366</v>
      </c>
      <c r="E11" s="30"/>
      <c r="F11" s="6">
        <v>8</v>
      </c>
      <c r="G11" s="5">
        <v>5</v>
      </c>
      <c r="H11" s="5">
        <v>5</v>
      </c>
      <c r="I11" s="5">
        <v>5</v>
      </c>
    </row>
    <row r="12" spans="1:9">
      <c r="A12" s="8">
        <v>46031</v>
      </c>
      <c r="B12" s="5">
        <v>366</v>
      </c>
      <c r="C12" s="5">
        <v>366</v>
      </c>
      <c r="D12" s="5">
        <v>366</v>
      </c>
      <c r="E12" s="30"/>
      <c r="F12" s="6">
        <v>9</v>
      </c>
      <c r="G12" s="5">
        <v>5</v>
      </c>
      <c r="H12" s="5">
        <v>5</v>
      </c>
      <c r="I12" s="5">
        <v>5</v>
      </c>
    </row>
    <row r="13" spans="1:9">
      <c r="A13" s="8">
        <v>46032</v>
      </c>
      <c r="B13" s="5">
        <v>366</v>
      </c>
      <c r="C13" s="5">
        <v>366</v>
      </c>
      <c r="D13" s="5">
        <v>366</v>
      </c>
      <c r="E13" s="30"/>
      <c r="F13" s="6">
        <v>10</v>
      </c>
      <c r="G13" s="5">
        <v>5</v>
      </c>
      <c r="H13" s="5">
        <v>5</v>
      </c>
      <c r="I13" s="5">
        <v>5</v>
      </c>
    </row>
    <row r="14" spans="1:9">
      <c r="A14" s="16">
        <v>46033</v>
      </c>
      <c r="B14" s="25">
        <v>340</v>
      </c>
      <c r="C14" s="25">
        <v>340</v>
      </c>
      <c r="D14" s="25">
        <v>350</v>
      </c>
      <c r="E14" s="30"/>
      <c r="F14" s="17">
        <v>11</v>
      </c>
      <c r="G14" s="25">
        <v>1</v>
      </c>
      <c r="H14" s="25">
        <v>2</v>
      </c>
      <c r="I14" s="25">
        <v>3</v>
      </c>
    </row>
    <row r="15" spans="1:9">
      <c r="A15" s="8">
        <v>46034</v>
      </c>
      <c r="B15" s="5">
        <v>360</v>
      </c>
      <c r="C15" s="5">
        <v>366</v>
      </c>
      <c r="D15" s="5">
        <v>366</v>
      </c>
      <c r="E15" s="30"/>
      <c r="F15" s="6">
        <v>12</v>
      </c>
      <c r="G15" s="5">
        <v>5</v>
      </c>
      <c r="H15" s="5">
        <v>5</v>
      </c>
      <c r="I15" s="5">
        <v>5</v>
      </c>
    </row>
    <row r="16" spans="1:9">
      <c r="A16" s="8">
        <v>46035</v>
      </c>
      <c r="B16" s="5">
        <v>366</v>
      </c>
      <c r="C16" s="5">
        <v>366</v>
      </c>
      <c r="D16" s="5">
        <v>366</v>
      </c>
      <c r="E16" s="30"/>
      <c r="F16" s="6">
        <v>13</v>
      </c>
      <c r="G16" s="5">
        <v>5</v>
      </c>
      <c r="H16" s="5">
        <v>5</v>
      </c>
      <c r="I16" s="5">
        <v>5</v>
      </c>
    </row>
    <row r="17" spans="1:9">
      <c r="A17" s="8">
        <v>46036</v>
      </c>
      <c r="B17" s="5">
        <v>366</v>
      </c>
      <c r="C17" s="5">
        <v>366</v>
      </c>
      <c r="D17" s="5">
        <v>366</v>
      </c>
      <c r="E17" s="30"/>
      <c r="F17" s="6">
        <v>14</v>
      </c>
      <c r="G17" s="5">
        <v>5</v>
      </c>
      <c r="H17" s="5">
        <v>5</v>
      </c>
      <c r="I17" s="5">
        <v>5</v>
      </c>
    </row>
    <row r="18" spans="1:9">
      <c r="A18" s="8">
        <v>46037</v>
      </c>
      <c r="B18" s="5">
        <v>366</v>
      </c>
      <c r="C18" s="5">
        <v>366</v>
      </c>
      <c r="D18" s="5">
        <v>366</v>
      </c>
      <c r="E18" s="30"/>
      <c r="F18" s="6">
        <v>15</v>
      </c>
      <c r="G18" s="5">
        <v>5</v>
      </c>
      <c r="H18" s="5">
        <v>5</v>
      </c>
      <c r="I18" s="5">
        <v>5</v>
      </c>
    </row>
    <row r="19" spans="1:9">
      <c r="A19" s="8">
        <v>46038</v>
      </c>
      <c r="B19" s="5">
        <v>366</v>
      </c>
      <c r="C19" s="5">
        <v>366</v>
      </c>
      <c r="D19" s="5">
        <v>366</v>
      </c>
      <c r="E19" s="30"/>
      <c r="F19" s="6">
        <v>16</v>
      </c>
      <c r="G19" s="5">
        <v>5</v>
      </c>
      <c r="H19" s="5">
        <v>5</v>
      </c>
      <c r="I19" s="5">
        <v>5</v>
      </c>
    </row>
    <row r="20" spans="1:9">
      <c r="A20" s="8">
        <v>46039</v>
      </c>
      <c r="B20" s="5">
        <v>366</v>
      </c>
      <c r="C20" s="5">
        <v>366</v>
      </c>
      <c r="D20" s="5">
        <v>366</v>
      </c>
      <c r="E20" s="30"/>
      <c r="F20" s="6">
        <v>17</v>
      </c>
      <c r="G20" s="5">
        <v>5</v>
      </c>
      <c r="H20" s="5">
        <v>5</v>
      </c>
      <c r="I20" s="5">
        <v>5</v>
      </c>
    </row>
    <row r="21" spans="1:9">
      <c r="A21" s="16">
        <v>46040</v>
      </c>
      <c r="B21" s="25">
        <v>340</v>
      </c>
      <c r="C21" s="25">
        <v>340</v>
      </c>
      <c r="D21" s="25">
        <v>350</v>
      </c>
      <c r="E21" s="30"/>
      <c r="F21" s="17">
        <v>18</v>
      </c>
      <c r="G21" s="25">
        <v>1</v>
      </c>
      <c r="H21" s="25">
        <v>2</v>
      </c>
      <c r="I21" s="25">
        <v>3</v>
      </c>
    </row>
    <row r="22" spans="1:9">
      <c r="A22" s="8">
        <v>46041</v>
      </c>
      <c r="B22" s="5">
        <v>360</v>
      </c>
      <c r="C22" s="5">
        <v>366</v>
      </c>
      <c r="D22" s="5">
        <v>366</v>
      </c>
      <c r="E22" s="30"/>
      <c r="F22" s="6">
        <v>19</v>
      </c>
      <c r="G22" s="5">
        <v>5</v>
      </c>
      <c r="H22" s="5">
        <v>5</v>
      </c>
      <c r="I22" s="5">
        <v>5</v>
      </c>
    </row>
    <row r="23" spans="1:9">
      <c r="A23" s="8">
        <v>46042</v>
      </c>
      <c r="B23" s="5">
        <v>366</v>
      </c>
      <c r="C23" s="5">
        <v>366</v>
      </c>
      <c r="D23" s="5">
        <v>366</v>
      </c>
      <c r="E23" s="30"/>
      <c r="F23" s="6">
        <v>20</v>
      </c>
      <c r="G23" s="5">
        <v>5</v>
      </c>
      <c r="H23" s="5">
        <v>5</v>
      </c>
      <c r="I23" s="5">
        <v>5</v>
      </c>
    </row>
    <row r="24" spans="1:9">
      <c r="A24" s="8">
        <v>46043</v>
      </c>
      <c r="B24" s="5">
        <v>366</v>
      </c>
      <c r="C24" s="5">
        <v>366</v>
      </c>
      <c r="D24" s="5">
        <v>366</v>
      </c>
      <c r="E24" s="30"/>
      <c r="F24" s="6">
        <v>21</v>
      </c>
      <c r="G24" s="5">
        <v>5</v>
      </c>
      <c r="H24" s="5">
        <v>5</v>
      </c>
      <c r="I24" s="5">
        <v>5</v>
      </c>
    </row>
    <row r="25" spans="1:9">
      <c r="A25" s="8">
        <v>46044</v>
      </c>
      <c r="B25" s="5">
        <v>366</v>
      </c>
      <c r="C25" s="5">
        <v>366</v>
      </c>
      <c r="D25" s="5">
        <v>366</v>
      </c>
      <c r="E25" s="30"/>
      <c r="F25" s="6">
        <v>22</v>
      </c>
      <c r="G25" s="5">
        <v>5</v>
      </c>
      <c r="H25" s="5">
        <v>5</v>
      </c>
      <c r="I25" s="5">
        <v>5</v>
      </c>
    </row>
    <row r="26" spans="1:9">
      <c r="A26" s="8">
        <v>46045</v>
      </c>
      <c r="B26" s="5">
        <v>366</v>
      </c>
      <c r="C26" s="5">
        <v>366</v>
      </c>
      <c r="D26" s="5">
        <v>366</v>
      </c>
      <c r="E26" s="30"/>
      <c r="F26" s="6">
        <v>23</v>
      </c>
      <c r="G26" s="5">
        <v>5</v>
      </c>
      <c r="H26" s="5">
        <v>5</v>
      </c>
      <c r="I26" s="5">
        <v>5</v>
      </c>
    </row>
    <row r="27" spans="1:9">
      <c r="A27" s="8">
        <v>46046</v>
      </c>
      <c r="B27" s="5">
        <v>366</v>
      </c>
      <c r="C27" s="5">
        <v>340</v>
      </c>
      <c r="D27" s="5">
        <v>330</v>
      </c>
      <c r="E27" s="30"/>
      <c r="F27" s="6">
        <v>24</v>
      </c>
      <c r="G27" s="5">
        <v>5</v>
      </c>
      <c r="H27" s="5">
        <v>5</v>
      </c>
      <c r="I27" s="5">
        <v>5</v>
      </c>
    </row>
    <row r="28" spans="1:9">
      <c r="A28" s="16">
        <v>46047</v>
      </c>
      <c r="B28" s="25">
        <v>0</v>
      </c>
      <c r="C28" s="25">
        <v>0</v>
      </c>
      <c r="D28" s="25">
        <v>0</v>
      </c>
      <c r="E28" s="30"/>
      <c r="F28" s="17">
        <v>25</v>
      </c>
      <c r="G28" s="25">
        <v>0</v>
      </c>
      <c r="H28" s="25">
        <v>0</v>
      </c>
      <c r="I28" s="25">
        <v>0</v>
      </c>
    </row>
    <row r="29" spans="1:9">
      <c r="A29" s="8">
        <v>46048</v>
      </c>
      <c r="B29" s="5">
        <v>0</v>
      </c>
      <c r="C29" s="5">
        <v>0</v>
      </c>
      <c r="D29" s="5">
        <v>0</v>
      </c>
      <c r="E29" s="30"/>
      <c r="F29" s="6">
        <v>26</v>
      </c>
      <c r="G29" s="5">
        <v>0</v>
      </c>
      <c r="H29" s="5">
        <v>0</v>
      </c>
      <c r="I29" s="5">
        <v>0</v>
      </c>
    </row>
    <row r="30" spans="1:9">
      <c r="A30" s="8">
        <v>46049</v>
      </c>
      <c r="B30" s="5">
        <v>0</v>
      </c>
      <c r="C30" s="5">
        <v>0</v>
      </c>
      <c r="D30" s="5">
        <v>0</v>
      </c>
      <c r="E30" s="30"/>
      <c r="F30" s="6">
        <v>27</v>
      </c>
      <c r="G30" s="5">
        <v>0</v>
      </c>
      <c r="H30" s="5">
        <v>0</v>
      </c>
      <c r="I30" s="5">
        <v>0</v>
      </c>
    </row>
    <row r="31" spans="1:9">
      <c r="A31" s="8">
        <v>46050</v>
      </c>
      <c r="B31" s="5">
        <v>0</v>
      </c>
      <c r="C31" s="5">
        <v>0</v>
      </c>
      <c r="D31" s="5">
        <v>0</v>
      </c>
      <c r="E31" s="30"/>
      <c r="F31" s="6">
        <v>28</v>
      </c>
      <c r="G31" s="5">
        <v>0</v>
      </c>
      <c r="H31" s="5">
        <v>0</v>
      </c>
      <c r="I31" s="5">
        <v>0</v>
      </c>
    </row>
    <row r="32" spans="1:9">
      <c r="A32" s="8">
        <v>46051</v>
      </c>
      <c r="B32" s="5">
        <v>0</v>
      </c>
      <c r="C32" s="5">
        <v>0</v>
      </c>
      <c r="D32" s="5">
        <v>0</v>
      </c>
      <c r="E32" s="30"/>
      <c r="F32" s="6">
        <v>29</v>
      </c>
      <c r="G32" s="5">
        <v>0</v>
      </c>
      <c r="H32" s="5">
        <v>0</v>
      </c>
      <c r="I32" s="5">
        <v>0</v>
      </c>
    </row>
    <row r="33" spans="1:9">
      <c r="A33" s="8">
        <v>46052</v>
      </c>
      <c r="B33" s="5">
        <v>0</v>
      </c>
      <c r="C33" s="5">
        <v>0</v>
      </c>
      <c r="D33" s="5">
        <v>0</v>
      </c>
      <c r="E33" s="30"/>
      <c r="F33" s="6">
        <v>30</v>
      </c>
      <c r="G33" s="5">
        <v>0</v>
      </c>
      <c r="H33" s="5">
        <v>0</v>
      </c>
      <c r="I33" s="5">
        <v>0</v>
      </c>
    </row>
    <row r="34" spans="1:9">
      <c r="A34" s="8">
        <v>46053</v>
      </c>
      <c r="B34" s="5">
        <v>0</v>
      </c>
      <c r="C34" s="5">
        <v>0</v>
      </c>
      <c r="D34" s="5">
        <v>0</v>
      </c>
      <c r="E34" s="30"/>
      <c r="F34" s="6"/>
      <c r="G34" s="5"/>
      <c r="H34" s="5"/>
      <c r="I34" s="5"/>
    </row>
    <row r="35" spans="1:9">
      <c r="A35" s="23" t="s">
        <v>22</v>
      </c>
      <c r="B35" s="7">
        <f>SUM(B4:B34)</f>
        <v>8688</v>
      </c>
      <c r="C35" s="7">
        <f t="shared" ref="C35:D35" si="0">SUM(C4:C34)</f>
        <v>8680</v>
      </c>
      <c r="D35" s="7">
        <f t="shared" si="0"/>
        <v>8700</v>
      </c>
      <c r="E35" s="31"/>
      <c r="F35" s="23" t="s">
        <v>22</v>
      </c>
      <c r="G35" s="7">
        <f>SUM(G4:G34)</f>
        <v>108</v>
      </c>
      <c r="H35" s="7">
        <f t="shared" ref="H35:I35" si="1">SUM(H4:H34)</f>
        <v>111</v>
      </c>
      <c r="I35" s="7">
        <f t="shared" si="1"/>
        <v>114</v>
      </c>
    </row>
  </sheetData>
  <mergeCells count="5">
    <mergeCell ref="A1:D1"/>
    <mergeCell ref="F1:I1"/>
    <mergeCell ref="A2:D2"/>
    <mergeCell ref="F2:I2"/>
    <mergeCell ref="E1:E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3886-DA07-4886-8322-AC4DFB713ED3}">
  <sheetPr>
    <tabColor rgb="FFFFFF00"/>
  </sheetPr>
  <dimension ref="A1:I32"/>
  <sheetViews>
    <sheetView topLeftCell="A10" workbookViewId="0">
      <selection activeCell="B22" sqref="B22"/>
    </sheetView>
  </sheetViews>
  <sheetFormatPr defaultColWidth="10.90625" defaultRowHeight="14.5"/>
  <cols>
    <col min="1" max="1" width="26.54296875" bestFit="1" customWidth="1"/>
    <col min="2" max="2" width="9.7265625" bestFit="1" customWidth="1"/>
    <col min="5" max="5" width="4.81640625" customWidth="1"/>
  </cols>
  <sheetData>
    <row r="1" spans="1:9">
      <c r="A1" s="27" t="s">
        <v>27</v>
      </c>
      <c r="B1" s="27"/>
      <c r="C1" s="27"/>
      <c r="D1" s="27"/>
      <c r="E1" s="29"/>
      <c r="F1" s="27" t="s">
        <v>24</v>
      </c>
      <c r="G1" s="27"/>
      <c r="H1" s="27"/>
      <c r="I1" s="27"/>
    </row>
    <row r="2" spans="1:9">
      <c r="A2" s="28" t="s">
        <v>23</v>
      </c>
      <c r="B2" s="28"/>
      <c r="C2" s="28"/>
      <c r="D2" s="28"/>
      <c r="E2" s="30"/>
      <c r="F2" s="28" t="s">
        <v>23</v>
      </c>
      <c r="G2" s="28"/>
      <c r="H2" s="28"/>
      <c r="I2" s="28"/>
    </row>
    <row r="3" spans="1:9">
      <c r="A3" s="6" t="s">
        <v>18</v>
      </c>
      <c r="B3" s="6" t="s">
        <v>21</v>
      </c>
      <c r="C3" s="6" t="s">
        <v>19</v>
      </c>
      <c r="D3" s="6" t="s">
        <v>20</v>
      </c>
      <c r="E3" s="30"/>
      <c r="F3" s="6" t="s">
        <v>18</v>
      </c>
      <c r="G3" s="6" t="s">
        <v>21</v>
      </c>
      <c r="H3" s="6" t="s">
        <v>19</v>
      </c>
      <c r="I3" s="6" t="s">
        <v>20</v>
      </c>
    </row>
    <row r="4" spans="1:9">
      <c r="A4" s="16">
        <v>46054</v>
      </c>
      <c r="B4" s="25">
        <v>340</v>
      </c>
      <c r="C4" s="25">
        <v>340</v>
      </c>
      <c r="D4" s="25">
        <v>350</v>
      </c>
      <c r="E4" s="30"/>
      <c r="F4" s="17">
        <v>1</v>
      </c>
      <c r="G4" s="25">
        <v>2</v>
      </c>
      <c r="H4" s="25">
        <v>2</v>
      </c>
      <c r="I4" s="25">
        <v>2</v>
      </c>
    </row>
    <row r="5" spans="1:9">
      <c r="A5" s="8">
        <v>46055</v>
      </c>
      <c r="B5" s="5">
        <v>360</v>
      </c>
      <c r="C5" s="5">
        <v>366</v>
      </c>
      <c r="D5" s="5">
        <v>366</v>
      </c>
      <c r="E5" s="30"/>
      <c r="F5" s="6">
        <v>2</v>
      </c>
      <c r="G5" s="5">
        <v>5</v>
      </c>
      <c r="H5" s="5">
        <v>5</v>
      </c>
      <c r="I5" s="5">
        <v>5</v>
      </c>
    </row>
    <row r="6" spans="1:9">
      <c r="A6" s="8">
        <v>46056</v>
      </c>
      <c r="B6" s="5">
        <v>366</v>
      </c>
      <c r="C6" s="5">
        <v>366</v>
      </c>
      <c r="D6" s="5">
        <v>366</v>
      </c>
      <c r="E6" s="30"/>
      <c r="F6" s="6">
        <v>3</v>
      </c>
      <c r="G6" s="5">
        <v>5</v>
      </c>
      <c r="H6" s="5">
        <v>5</v>
      </c>
      <c r="I6" s="5">
        <v>5</v>
      </c>
    </row>
    <row r="7" spans="1:9">
      <c r="A7" s="8">
        <v>46057</v>
      </c>
      <c r="B7" s="5">
        <v>366</v>
      </c>
      <c r="C7" s="5">
        <v>366</v>
      </c>
      <c r="D7" s="5">
        <v>366</v>
      </c>
      <c r="E7" s="30"/>
      <c r="F7" s="6">
        <v>4</v>
      </c>
      <c r="G7" s="5">
        <v>5</v>
      </c>
      <c r="H7" s="5">
        <v>5</v>
      </c>
      <c r="I7" s="5">
        <v>5</v>
      </c>
    </row>
    <row r="8" spans="1:9">
      <c r="A8" s="8">
        <v>46058</v>
      </c>
      <c r="B8" s="5">
        <v>366</v>
      </c>
      <c r="C8" s="5">
        <v>366</v>
      </c>
      <c r="D8" s="5">
        <v>366</v>
      </c>
      <c r="E8" s="30"/>
      <c r="F8" s="6">
        <v>5</v>
      </c>
      <c r="G8" s="5">
        <v>5</v>
      </c>
      <c r="H8" s="5">
        <v>5</v>
      </c>
      <c r="I8" s="5">
        <v>5</v>
      </c>
    </row>
    <row r="9" spans="1:9">
      <c r="A9" s="8">
        <v>46059</v>
      </c>
      <c r="B9" s="5">
        <v>366</v>
      </c>
      <c r="C9" s="5">
        <v>366</v>
      </c>
      <c r="D9" s="5">
        <v>366</v>
      </c>
      <c r="E9" s="30"/>
      <c r="F9" s="6">
        <v>6</v>
      </c>
      <c r="G9" s="5">
        <v>5</v>
      </c>
      <c r="H9" s="5">
        <v>5</v>
      </c>
      <c r="I9" s="5">
        <v>5</v>
      </c>
    </row>
    <row r="10" spans="1:9">
      <c r="A10" s="8">
        <v>46060</v>
      </c>
      <c r="B10" s="5">
        <v>366</v>
      </c>
      <c r="C10" s="5">
        <v>366</v>
      </c>
      <c r="D10" s="5">
        <v>366</v>
      </c>
      <c r="E10" s="30"/>
      <c r="F10" s="6">
        <v>7</v>
      </c>
      <c r="G10" s="5">
        <v>5</v>
      </c>
      <c r="H10" s="5">
        <v>5</v>
      </c>
      <c r="I10" s="5">
        <v>5</v>
      </c>
    </row>
    <row r="11" spans="1:9">
      <c r="A11" s="16">
        <v>46061</v>
      </c>
      <c r="B11" s="25">
        <v>340</v>
      </c>
      <c r="C11" s="25">
        <v>340</v>
      </c>
      <c r="D11" s="25">
        <v>350</v>
      </c>
      <c r="E11" s="30"/>
      <c r="F11" s="17">
        <v>8</v>
      </c>
      <c r="G11" s="25" t="s">
        <v>47</v>
      </c>
      <c r="H11" s="25">
        <v>2</v>
      </c>
      <c r="I11" s="25">
        <v>3</v>
      </c>
    </row>
    <row r="12" spans="1:9">
      <c r="A12" s="8">
        <v>46062</v>
      </c>
      <c r="B12" s="5">
        <v>360</v>
      </c>
      <c r="C12" s="5">
        <v>366</v>
      </c>
      <c r="D12" s="5">
        <v>366</v>
      </c>
      <c r="E12" s="30"/>
      <c r="F12" s="6">
        <v>9</v>
      </c>
      <c r="G12" s="5">
        <v>5</v>
      </c>
      <c r="H12" s="5">
        <v>5</v>
      </c>
      <c r="I12" s="5">
        <v>5</v>
      </c>
    </row>
    <row r="13" spans="1:9">
      <c r="A13" s="8">
        <v>46063</v>
      </c>
      <c r="B13" s="5">
        <v>366</v>
      </c>
      <c r="C13" s="5">
        <v>366</v>
      </c>
      <c r="D13" s="5">
        <v>366</v>
      </c>
      <c r="E13" s="30"/>
      <c r="F13" s="6">
        <v>10</v>
      </c>
      <c r="G13" s="5">
        <v>5</v>
      </c>
      <c r="H13" s="5">
        <v>5</v>
      </c>
      <c r="I13" s="5">
        <v>5</v>
      </c>
    </row>
    <row r="14" spans="1:9">
      <c r="A14" s="8">
        <v>46064</v>
      </c>
      <c r="B14" s="5">
        <v>366</v>
      </c>
      <c r="C14" s="5">
        <v>366</v>
      </c>
      <c r="D14" s="5">
        <v>366</v>
      </c>
      <c r="E14" s="30"/>
      <c r="F14" s="6">
        <v>11</v>
      </c>
      <c r="G14" s="5">
        <v>5</v>
      </c>
      <c r="H14" s="5">
        <v>5</v>
      </c>
      <c r="I14" s="5">
        <v>5</v>
      </c>
    </row>
    <row r="15" spans="1:9">
      <c r="A15" s="8">
        <v>46065</v>
      </c>
      <c r="B15" s="5">
        <v>366</v>
      </c>
      <c r="C15" s="5">
        <v>366</v>
      </c>
      <c r="D15" s="5">
        <v>366</v>
      </c>
      <c r="E15" s="30"/>
      <c r="F15" s="6">
        <v>12</v>
      </c>
      <c r="G15" s="5">
        <v>5</v>
      </c>
      <c r="H15" s="5">
        <v>5</v>
      </c>
      <c r="I15" s="5">
        <v>5</v>
      </c>
    </row>
    <row r="16" spans="1:9">
      <c r="A16" s="8">
        <v>46066</v>
      </c>
      <c r="B16" s="5">
        <v>366</v>
      </c>
      <c r="C16" s="5">
        <v>366</v>
      </c>
      <c r="D16" s="5">
        <v>366</v>
      </c>
      <c r="E16" s="30"/>
      <c r="F16" s="6">
        <v>13</v>
      </c>
      <c r="G16" s="5">
        <v>5</v>
      </c>
      <c r="H16" s="5">
        <v>5</v>
      </c>
      <c r="I16" s="5">
        <v>5</v>
      </c>
    </row>
    <row r="17" spans="1:9">
      <c r="A17" s="8">
        <v>46067</v>
      </c>
      <c r="B17" s="5">
        <v>366</v>
      </c>
      <c r="C17" s="5">
        <v>366</v>
      </c>
      <c r="D17" s="5">
        <v>366</v>
      </c>
      <c r="E17" s="30"/>
      <c r="F17" s="6">
        <v>14</v>
      </c>
      <c r="G17" s="5">
        <v>5</v>
      </c>
      <c r="H17" s="5">
        <v>5</v>
      </c>
      <c r="I17" s="5">
        <v>5</v>
      </c>
    </row>
    <row r="18" spans="1:9">
      <c r="A18" s="16">
        <v>46068</v>
      </c>
      <c r="B18" s="25">
        <v>340</v>
      </c>
      <c r="C18" s="25">
        <v>340</v>
      </c>
      <c r="D18" s="25">
        <v>350</v>
      </c>
      <c r="E18" s="30"/>
      <c r="F18" s="17">
        <v>15</v>
      </c>
      <c r="G18" s="25">
        <v>2</v>
      </c>
      <c r="H18" s="25">
        <v>2</v>
      </c>
      <c r="I18" s="25">
        <v>4</v>
      </c>
    </row>
    <row r="19" spans="1:9">
      <c r="A19" s="8">
        <v>46069</v>
      </c>
      <c r="B19" s="5">
        <v>360</v>
      </c>
      <c r="C19" s="5">
        <v>366</v>
      </c>
      <c r="D19" s="5">
        <v>366</v>
      </c>
      <c r="E19" s="30"/>
      <c r="F19" s="6">
        <v>16</v>
      </c>
      <c r="G19" s="5">
        <v>5</v>
      </c>
      <c r="H19" s="5">
        <v>5</v>
      </c>
      <c r="I19" s="5">
        <v>5</v>
      </c>
    </row>
    <row r="20" spans="1:9">
      <c r="A20" s="8">
        <v>46070</v>
      </c>
      <c r="B20" s="5">
        <v>366</v>
      </c>
      <c r="C20" s="5">
        <v>366</v>
      </c>
      <c r="D20" s="5">
        <v>366</v>
      </c>
      <c r="E20" s="30"/>
      <c r="F20" s="6">
        <v>17</v>
      </c>
      <c r="G20" s="5">
        <v>5</v>
      </c>
      <c r="H20" s="5">
        <v>5</v>
      </c>
      <c r="I20" s="5">
        <v>5</v>
      </c>
    </row>
    <row r="21" spans="1:9">
      <c r="A21" s="8">
        <v>46071</v>
      </c>
      <c r="B21" s="5">
        <v>366</v>
      </c>
      <c r="C21" s="5">
        <v>366</v>
      </c>
      <c r="D21" s="5">
        <v>366</v>
      </c>
      <c r="E21" s="30"/>
      <c r="F21" s="6">
        <v>18</v>
      </c>
      <c r="G21" s="5">
        <v>5</v>
      </c>
      <c r="H21" s="5">
        <v>5</v>
      </c>
      <c r="I21" s="5">
        <v>5</v>
      </c>
    </row>
    <row r="22" spans="1:9">
      <c r="A22" s="8">
        <v>46072</v>
      </c>
      <c r="B22" s="5"/>
      <c r="C22" s="5"/>
      <c r="D22" s="5"/>
      <c r="E22" s="30"/>
      <c r="F22" s="6">
        <v>19</v>
      </c>
      <c r="G22" s="5"/>
      <c r="H22" s="5"/>
      <c r="I22" s="5"/>
    </row>
    <row r="23" spans="1:9" ht="15" customHeight="1">
      <c r="A23" s="8">
        <v>46073</v>
      </c>
      <c r="B23" s="5"/>
      <c r="C23" s="5"/>
      <c r="D23" s="5"/>
      <c r="E23" s="30"/>
      <c r="F23" s="6">
        <v>20</v>
      </c>
      <c r="G23" s="5"/>
      <c r="H23" s="5"/>
      <c r="I23" s="5"/>
    </row>
    <row r="24" spans="1:9">
      <c r="A24" s="8">
        <v>46074</v>
      </c>
      <c r="B24" s="5"/>
      <c r="C24" s="5"/>
      <c r="D24" s="5"/>
      <c r="E24" s="30"/>
      <c r="F24" s="6">
        <v>21</v>
      </c>
      <c r="G24" s="5"/>
      <c r="H24" s="5"/>
      <c r="I24" s="5"/>
    </row>
    <row r="25" spans="1:9">
      <c r="A25" s="16">
        <v>46075</v>
      </c>
      <c r="B25" s="25"/>
      <c r="C25" s="25"/>
      <c r="D25" s="25"/>
      <c r="E25" s="30"/>
      <c r="F25" s="17">
        <v>22</v>
      </c>
      <c r="G25" s="25"/>
      <c r="H25" s="25"/>
      <c r="I25" s="25"/>
    </row>
    <row r="26" spans="1:9">
      <c r="A26" s="8">
        <v>46076</v>
      </c>
      <c r="B26" s="5"/>
      <c r="C26" s="5"/>
      <c r="D26" s="5"/>
      <c r="E26" s="30"/>
      <c r="F26" s="6">
        <v>23</v>
      </c>
      <c r="G26" s="5"/>
      <c r="H26" s="5"/>
      <c r="I26" s="5"/>
    </row>
    <row r="27" spans="1:9">
      <c r="A27" s="8">
        <v>46077</v>
      </c>
      <c r="B27" s="5"/>
      <c r="C27" s="5"/>
      <c r="D27" s="5"/>
      <c r="E27" s="30"/>
      <c r="F27" s="6">
        <v>24</v>
      </c>
      <c r="G27" s="5"/>
      <c r="H27" s="5"/>
      <c r="I27" s="5"/>
    </row>
    <row r="28" spans="1:9">
      <c r="A28" s="8">
        <v>46078</v>
      </c>
      <c r="B28" s="5"/>
      <c r="C28" s="5"/>
      <c r="D28" s="5"/>
      <c r="E28" s="30"/>
      <c r="F28" s="6">
        <v>25</v>
      </c>
      <c r="G28" s="5"/>
      <c r="H28" s="5"/>
      <c r="I28" s="5"/>
    </row>
    <row r="29" spans="1:9">
      <c r="A29" s="8">
        <v>46079</v>
      </c>
      <c r="B29" s="5"/>
      <c r="C29" s="5"/>
      <c r="D29" s="5"/>
      <c r="E29" s="30"/>
      <c r="F29" s="6">
        <v>26</v>
      </c>
      <c r="G29" s="5"/>
      <c r="H29" s="5"/>
      <c r="I29" s="5"/>
    </row>
    <row r="30" spans="1:9">
      <c r="A30" s="8">
        <v>46080</v>
      </c>
      <c r="B30" s="5"/>
      <c r="C30" s="5"/>
      <c r="D30" s="5"/>
      <c r="E30" s="30"/>
      <c r="F30" s="6">
        <v>27</v>
      </c>
      <c r="G30" s="5"/>
      <c r="H30" s="5"/>
      <c r="I30" s="5"/>
    </row>
    <row r="31" spans="1:9">
      <c r="A31" s="8">
        <v>46081</v>
      </c>
      <c r="B31" s="5"/>
      <c r="C31" s="5"/>
      <c r="D31" s="5"/>
      <c r="E31" s="30"/>
      <c r="F31" s="6">
        <v>28</v>
      </c>
      <c r="G31" s="5"/>
      <c r="H31" s="5"/>
      <c r="I31" s="5"/>
    </row>
    <row r="32" spans="1:9">
      <c r="A32" s="23" t="s">
        <v>22</v>
      </c>
      <c r="B32" s="7">
        <f>SUM(B4:B31)</f>
        <v>6492</v>
      </c>
      <c r="C32" s="7">
        <f>SUM(C4:C31)</f>
        <v>6510</v>
      </c>
      <c r="D32" s="7">
        <f>SUM(D4:D31)</f>
        <v>6540</v>
      </c>
      <c r="E32" s="31"/>
      <c r="F32" s="23" t="s">
        <v>22</v>
      </c>
      <c r="G32" s="7">
        <f>SUM(G4:G31)</f>
        <v>79</v>
      </c>
      <c r="H32" s="7">
        <f>SUM(H4:H31)</f>
        <v>81</v>
      </c>
      <c r="I32" s="7">
        <f>SUM(I4:I31)</f>
        <v>84</v>
      </c>
    </row>
  </sheetData>
  <mergeCells count="5">
    <mergeCell ref="A1:D1"/>
    <mergeCell ref="F1:I1"/>
    <mergeCell ref="A2:D2"/>
    <mergeCell ref="F2:I2"/>
    <mergeCell ref="E1:E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E9D7-3AE5-41FB-B19D-007FFF1F8CE1}">
  <sheetPr>
    <tabColor theme="5" tint="0.59999389629810485"/>
  </sheetPr>
  <dimension ref="A1:Q35"/>
  <sheetViews>
    <sheetView tabSelected="1" topLeftCell="A13" workbookViewId="0">
      <selection activeCell="L28" sqref="L28"/>
    </sheetView>
  </sheetViews>
  <sheetFormatPr defaultColWidth="10.90625" defaultRowHeight="14.5"/>
  <cols>
    <col min="1" max="1" width="25.81640625" customWidth="1"/>
    <col min="2" max="2" width="9.7265625" bestFit="1" customWidth="1"/>
    <col min="5" max="5" width="4" customWidth="1"/>
    <col min="10" max="10" width="8.7265625" customWidth="1"/>
    <col min="13" max="13" width="11.453125" customWidth="1"/>
    <col min="14" max="14" width="4.26953125" customWidth="1"/>
  </cols>
  <sheetData>
    <row r="1" spans="1:17">
      <c r="A1" s="27" t="s">
        <v>27</v>
      </c>
      <c r="B1" s="27"/>
      <c r="C1" s="27"/>
      <c r="D1" s="27"/>
      <c r="E1" s="29"/>
      <c r="F1" s="27" t="s">
        <v>28</v>
      </c>
      <c r="G1" s="27"/>
      <c r="H1" s="27"/>
      <c r="I1" s="27"/>
      <c r="K1" s="32" t="s">
        <v>27</v>
      </c>
      <c r="L1" s="33"/>
      <c r="M1" s="34"/>
      <c r="N1" s="29"/>
      <c r="O1" s="32" t="s">
        <v>28</v>
      </c>
      <c r="P1" s="33"/>
      <c r="Q1" s="34"/>
    </row>
    <row r="2" spans="1:17">
      <c r="A2" s="28" t="s">
        <v>23</v>
      </c>
      <c r="B2" s="28"/>
      <c r="C2" s="28"/>
      <c r="D2" s="28"/>
      <c r="E2" s="30"/>
      <c r="F2" s="28" t="s">
        <v>23</v>
      </c>
      <c r="G2" s="28"/>
      <c r="H2" s="28"/>
      <c r="I2" s="28"/>
      <c r="K2" s="35" t="s">
        <v>23</v>
      </c>
      <c r="L2" s="36"/>
      <c r="M2" s="37"/>
      <c r="N2" s="30"/>
      <c r="O2" s="35" t="s">
        <v>23</v>
      </c>
      <c r="P2" s="36"/>
      <c r="Q2" s="37"/>
    </row>
    <row r="3" spans="1:17">
      <c r="A3" s="6" t="s">
        <v>18</v>
      </c>
      <c r="B3" s="6" t="s">
        <v>21</v>
      </c>
      <c r="C3" s="6" t="s">
        <v>19</v>
      </c>
      <c r="D3" s="6" t="s">
        <v>20</v>
      </c>
      <c r="E3" s="30"/>
      <c r="F3" s="6" t="s">
        <v>18</v>
      </c>
      <c r="G3" s="6" t="s">
        <v>21</v>
      </c>
      <c r="H3" s="6" t="s">
        <v>19</v>
      </c>
      <c r="I3" s="6" t="s">
        <v>20</v>
      </c>
      <c r="K3" s="6" t="s">
        <v>18</v>
      </c>
      <c r="L3" s="24" t="s">
        <v>35</v>
      </c>
      <c r="M3" s="19" t="s">
        <v>36</v>
      </c>
      <c r="N3" s="30"/>
      <c r="O3" s="6" t="s">
        <v>18</v>
      </c>
      <c r="P3" s="24" t="s">
        <v>35</v>
      </c>
      <c r="Q3" s="18" t="s">
        <v>36</v>
      </c>
    </row>
    <row r="4" spans="1:17">
      <c r="A4" s="16">
        <v>46082</v>
      </c>
      <c r="B4" s="26"/>
      <c r="C4" s="26"/>
      <c r="D4" s="26"/>
      <c r="E4" s="30"/>
      <c r="F4" s="6">
        <v>1</v>
      </c>
      <c r="G4" s="26"/>
      <c r="H4" s="26"/>
      <c r="I4" s="26"/>
      <c r="K4" s="6">
        <v>1</v>
      </c>
      <c r="L4" s="26">
        <v>310</v>
      </c>
      <c r="M4" s="26">
        <v>310</v>
      </c>
      <c r="N4" s="30"/>
      <c r="O4" s="6">
        <v>1</v>
      </c>
      <c r="P4" s="26">
        <v>2</v>
      </c>
      <c r="Q4" s="26">
        <v>2</v>
      </c>
    </row>
    <row r="5" spans="1:17">
      <c r="A5" s="8">
        <v>46083</v>
      </c>
      <c r="B5" s="20"/>
      <c r="C5" s="20"/>
      <c r="D5" s="20"/>
      <c r="E5" s="30"/>
      <c r="F5" s="6">
        <v>2</v>
      </c>
      <c r="G5" s="20"/>
      <c r="H5" s="20"/>
      <c r="I5" s="20"/>
      <c r="K5" s="6">
        <v>2</v>
      </c>
      <c r="L5" s="20">
        <v>310</v>
      </c>
      <c r="M5" s="20">
        <v>305</v>
      </c>
      <c r="N5" s="30"/>
      <c r="O5" s="6">
        <v>2</v>
      </c>
      <c r="P5" s="20">
        <v>4</v>
      </c>
      <c r="Q5" s="20">
        <v>4</v>
      </c>
    </row>
    <row r="6" spans="1:17">
      <c r="A6" s="8">
        <v>46084</v>
      </c>
      <c r="B6" s="20"/>
      <c r="C6" s="20"/>
      <c r="D6" s="20"/>
      <c r="E6" s="30"/>
      <c r="F6" s="6">
        <v>3</v>
      </c>
      <c r="G6" s="20"/>
      <c r="H6" s="20"/>
      <c r="I6" s="20"/>
      <c r="K6" s="6">
        <v>3</v>
      </c>
      <c r="L6" s="20">
        <v>310</v>
      </c>
      <c r="M6" s="20">
        <v>295</v>
      </c>
      <c r="N6" s="30"/>
      <c r="O6" s="6">
        <v>3</v>
      </c>
      <c r="P6" s="20">
        <v>4</v>
      </c>
      <c r="Q6" s="20">
        <v>4</v>
      </c>
    </row>
    <row r="7" spans="1:17">
      <c r="A7" s="8">
        <v>46085</v>
      </c>
      <c r="B7" s="20"/>
      <c r="C7" s="20"/>
      <c r="D7" s="20"/>
      <c r="E7" s="30"/>
      <c r="F7" s="6">
        <v>4</v>
      </c>
      <c r="G7" s="20"/>
      <c r="H7" s="20"/>
      <c r="I7" s="20"/>
      <c r="K7" s="6">
        <v>4</v>
      </c>
      <c r="L7" s="20">
        <v>310</v>
      </c>
      <c r="M7" s="20">
        <v>298</v>
      </c>
      <c r="N7" s="30"/>
      <c r="O7" s="6">
        <v>4</v>
      </c>
      <c r="P7" s="20">
        <v>4</v>
      </c>
      <c r="Q7" s="20">
        <v>4</v>
      </c>
    </row>
    <row r="8" spans="1:17">
      <c r="A8" s="8">
        <v>46086</v>
      </c>
      <c r="B8" s="20"/>
      <c r="C8" s="20"/>
      <c r="D8" s="20"/>
      <c r="E8" s="30"/>
      <c r="F8" s="6">
        <v>5</v>
      </c>
      <c r="G8" s="20"/>
      <c r="H8" s="20"/>
      <c r="I8" s="20"/>
      <c r="K8" s="6">
        <v>5</v>
      </c>
      <c r="L8" s="20">
        <v>310</v>
      </c>
      <c r="M8" s="20">
        <v>300</v>
      </c>
      <c r="N8" s="30"/>
      <c r="O8" s="6">
        <v>5</v>
      </c>
      <c r="P8" s="20">
        <v>4</v>
      </c>
      <c r="Q8" s="20">
        <v>4</v>
      </c>
    </row>
    <row r="9" spans="1:17">
      <c r="A9" s="8">
        <v>46087</v>
      </c>
      <c r="B9" s="20"/>
      <c r="C9" s="20"/>
      <c r="D9" s="20"/>
      <c r="E9" s="30"/>
      <c r="F9" s="6">
        <v>6</v>
      </c>
      <c r="G9" s="20"/>
      <c r="H9" s="20"/>
      <c r="I9" s="20"/>
      <c r="K9" s="6">
        <v>6</v>
      </c>
      <c r="L9" s="20">
        <v>310</v>
      </c>
      <c r="M9" s="20">
        <v>302</v>
      </c>
      <c r="N9" s="30"/>
      <c r="O9" s="6">
        <v>6</v>
      </c>
      <c r="P9" s="20">
        <v>4</v>
      </c>
      <c r="Q9" s="20">
        <v>4</v>
      </c>
    </row>
    <row r="10" spans="1:17">
      <c r="A10" s="8">
        <v>46088</v>
      </c>
      <c r="B10" s="20"/>
      <c r="C10" s="20"/>
      <c r="D10" s="20"/>
      <c r="E10" s="30"/>
      <c r="F10" s="6">
        <v>7</v>
      </c>
      <c r="G10" s="20"/>
      <c r="H10" s="20"/>
      <c r="I10" s="20"/>
      <c r="K10" s="6">
        <v>7</v>
      </c>
      <c r="L10" s="20">
        <v>310</v>
      </c>
      <c r="M10" s="20">
        <v>292</v>
      </c>
      <c r="N10" s="30"/>
      <c r="O10" s="6">
        <v>7</v>
      </c>
      <c r="P10" s="20">
        <v>4</v>
      </c>
      <c r="Q10" s="20">
        <v>4</v>
      </c>
    </row>
    <row r="11" spans="1:17">
      <c r="A11" s="16">
        <v>46089</v>
      </c>
      <c r="B11" s="26"/>
      <c r="C11" s="26"/>
      <c r="D11" s="26"/>
      <c r="E11" s="30"/>
      <c r="F11" s="6">
        <v>8</v>
      </c>
      <c r="G11" s="26"/>
      <c r="H11" s="26"/>
      <c r="I11" s="26"/>
      <c r="K11" s="6">
        <v>8</v>
      </c>
      <c r="L11" s="26">
        <v>200</v>
      </c>
      <c r="M11" s="26">
        <v>160</v>
      </c>
      <c r="N11" s="30"/>
      <c r="O11" s="6">
        <v>8</v>
      </c>
      <c r="P11" s="26">
        <v>2</v>
      </c>
      <c r="Q11" s="26">
        <v>2</v>
      </c>
    </row>
    <row r="12" spans="1:17">
      <c r="A12" s="8">
        <v>46090</v>
      </c>
      <c r="B12" s="20"/>
      <c r="C12" s="20"/>
      <c r="D12" s="20"/>
      <c r="E12" s="30"/>
      <c r="F12" s="6">
        <v>9</v>
      </c>
      <c r="G12" s="20"/>
      <c r="H12" s="20"/>
      <c r="I12" s="20"/>
      <c r="K12" s="6">
        <v>9</v>
      </c>
      <c r="L12" s="20">
        <v>300</v>
      </c>
      <c r="M12" s="20">
        <v>300</v>
      </c>
      <c r="N12" s="30"/>
      <c r="O12" s="6">
        <v>9</v>
      </c>
      <c r="P12" s="20">
        <v>4</v>
      </c>
      <c r="Q12" s="20">
        <v>4</v>
      </c>
    </row>
    <row r="13" spans="1:17">
      <c r="A13" s="8">
        <v>46091</v>
      </c>
      <c r="B13" s="20"/>
      <c r="C13" s="20"/>
      <c r="D13" s="20"/>
      <c r="E13" s="30"/>
      <c r="F13" s="6">
        <v>10</v>
      </c>
      <c r="G13" s="20"/>
      <c r="H13" s="20"/>
      <c r="I13" s="20"/>
      <c r="K13" s="6">
        <v>10</v>
      </c>
      <c r="L13" s="20">
        <v>310</v>
      </c>
      <c r="M13" s="20">
        <v>295</v>
      </c>
      <c r="N13" s="30"/>
      <c r="O13" s="6">
        <v>10</v>
      </c>
      <c r="P13" s="20">
        <v>4</v>
      </c>
      <c r="Q13" s="20">
        <v>4</v>
      </c>
    </row>
    <row r="14" spans="1:17">
      <c r="A14" s="8">
        <v>46092</v>
      </c>
      <c r="B14" s="20"/>
      <c r="C14" s="20"/>
      <c r="D14" s="20"/>
      <c r="E14" s="30"/>
      <c r="F14" s="6">
        <v>11</v>
      </c>
      <c r="G14" s="20"/>
      <c r="H14" s="20"/>
      <c r="I14" s="20"/>
      <c r="K14" s="6">
        <v>11</v>
      </c>
      <c r="L14" s="20">
        <v>310</v>
      </c>
      <c r="M14" s="20">
        <v>301</v>
      </c>
      <c r="N14" s="30"/>
      <c r="O14" s="6">
        <v>11</v>
      </c>
      <c r="P14" s="20">
        <v>4</v>
      </c>
      <c r="Q14" s="20">
        <v>4</v>
      </c>
    </row>
    <row r="15" spans="1:17">
      <c r="A15" s="8">
        <v>46093</v>
      </c>
      <c r="B15" s="20"/>
      <c r="C15" s="20"/>
      <c r="D15" s="20"/>
      <c r="E15" s="30"/>
      <c r="F15" s="6">
        <v>12</v>
      </c>
      <c r="G15" s="20"/>
      <c r="H15" s="20"/>
      <c r="I15" s="20"/>
      <c r="K15" s="6">
        <v>12</v>
      </c>
      <c r="L15" s="20">
        <v>310</v>
      </c>
      <c r="M15" s="20">
        <v>309</v>
      </c>
      <c r="N15" s="30"/>
      <c r="O15" s="6">
        <v>12</v>
      </c>
      <c r="P15" s="20">
        <v>4</v>
      </c>
      <c r="Q15" s="20">
        <v>4</v>
      </c>
    </row>
    <row r="16" spans="1:17">
      <c r="A16" s="8">
        <v>46094</v>
      </c>
      <c r="B16" s="20"/>
      <c r="C16" s="20"/>
      <c r="D16" s="20"/>
      <c r="E16" s="30"/>
      <c r="F16" s="6">
        <v>13</v>
      </c>
      <c r="G16" s="20"/>
      <c r="H16" s="20"/>
      <c r="I16" s="20"/>
      <c r="K16" s="6">
        <v>13</v>
      </c>
      <c r="L16" s="20">
        <v>310</v>
      </c>
      <c r="M16" s="20">
        <v>300</v>
      </c>
      <c r="N16" s="30"/>
      <c r="O16" s="6">
        <v>13</v>
      </c>
      <c r="P16" s="20">
        <v>4</v>
      </c>
      <c r="Q16" s="20">
        <v>4</v>
      </c>
    </row>
    <row r="17" spans="1:17">
      <c r="A17" s="8">
        <v>46095</v>
      </c>
      <c r="B17" s="20"/>
      <c r="C17" s="20"/>
      <c r="D17" s="20"/>
      <c r="E17" s="30"/>
      <c r="F17" s="6">
        <v>14</v>
      </c>
      <c r="G17" s="20"/>
      <c r="H17" s="20"/>
      <c r="I17" s="20"/>
      <c r="K17" s="6">
        <v>14</v>
      </c>
      <c r="L17" s="20">
        <v>310</v>
      </c>
      <c r="M17" s="20">
        <v>298</v>
      </c>
      <c r="N17" s="30"/>
      <c r="O17" s="6">
        <v>14</v>
      </c>
      <c r="P17" s="20">
        <v>4</v>
      </c>
      <c r="Q17" s="20">
        <v>4</v>
      </c>
    </row>
    <row r="18" spans="1:17">
      <c r="A18" s="16">
        <v>46096</v>
      </c>
      <c r="B18" s="26"/>
      <c r="C18" s="26"/>
      <c r="D18" s="26"/>
      <c r="E18" s="30"/>
      <c r="F18" s="6">
        <v>15</v>
      </c>
      <c r="G18" s="26"/>
      <c r="H18" s="26"/>
      <c r="I18" s="26"/>
      <c r="K18" s="6">
        <v>15</v>
      </c>
      <c r="L18" s="26">
        <v>201</v>
      </c>
      <c r="M18" s="26">
        <v>165</v>
      </c>
      <c r="N18" s="30"/>
      <c r="O18" s="6">
        <v>15</v>
      </c>
      <c r="P18" s="26">
        <v>2</v>
      </c>
      <c r="Q18" s="26">
        <v>2</v>
      </c>
    </row>
    <row r="19" spans="1:17" ht="15" customHeight="1">
      <c r="A19" s="8">
        <v>46097</v>
      </c>
      <c r="B19" s="20"/>
      <c r="C19" s="20"/>
      <c r="D19" s="20"/>
      <c r="E19" s="30"/>
      <c r="F19" s="6">
        <v>16</v>
      </c>
      <c r="G19" s="20"/>
      <c r="H19" s="20"/>
      <c r="I19" s="20"/>
      <c r="K19" s="6">
        <v>16</v>
      </c>
      <c r="L19" s="20">
        <v>310</v>
      </c>
      <c r="M19" s="20">
        <v>295</v>
      </c>
      <c r="N19" s="30"/>
      <c r="O19" s="6">
        <v>16</v>
      </c>
      <c r="P19" s="20">
        <v>4</v>
      </c>
      <c r="Q19" s="20">
        <v>4</v>
      </c>
    </row>
    <row r="20" spans="1:17">
      <c r="A20" s="8">
        <v>46098</v>
      </c>
      <c r="B20" s="20"/>
      <c r="C20" s="20"/>
      <c r="D20" s="20"/>
      <c r="E20" s="30"/>
      <c r="F20" s="6">
        <v>17</v>
      </c>
      <c r="G20" s="20"/>
      <c r="H20" s="20"/>
      <c r="I20" s="20"/>
      <c r="K20" s="6">
        <v>17</v>
      </c>
      <c r="L20" s="20">
        <v>310</v>
      </c>
      <c r="M20" s="20">
        <v>300</v>
      </c>
      <c r="N20" s="30"/>
      <c r="O20" s="6">
        <v>17</v>
      </c>
      <c r="P20" s="20">
        <v>4</v>
      </c>
      <c r="Q20" s="20">
        <v>4</v>
      </c>
    </row>
    <row r="21" spans="1:17">
      <c r="A21" s="8">
        <v>46099</v>
      </c>
      <c r="B21" s="20"/>
      <c r="C21" s="20"/>
      <c r="D21" s="20"/>
      <c r="E21" s="30"/>
      <c r="F21" s="6">
        <v>18</v>
      </c>
      <c r="G21" s="20"/>
      <c r="H21" s="20"/>
      <c r="I21" s="20"/>
      <c r="K21" s="6">
        <v>18</v>
      </c>
      <c r="L21" s="20">
        <v>310</v>
      </c>
      <c r="M21" s="20">
        <v>305</v>
      </c>
      <c r="N21" s="30"/>
      <c r="O21" s="6">
        <v>18</v>
      </c>
      <c r="P21" s="20">
        <v>4</v>
      </c>
      <c r="Q21" s="20">
        <v>4</v>
      </c>
    </row>
    <row r="22" spans="1:17">
      <c r="A22" s="8">
        <v>46100</v>
      </c>
      <c r="B22" s="20"/>
      <c r="C22" s="20"/>
      <c r="D22" s="20"/>
      <c r="E22" s="30"/>
      <c r="F22" s="6">
        <v>19</v>
      </c>
      <c r="G22" s="20"/>
      <c r="H22" s="20"/>
      <c r="I22" s="20"/>
      <c r="K22" s="6">
        <v>19</v>
      </c>
      <c r="L22" s="20">
        <v>310</v>
      </c>
      <c r="M22" s="20">
        <v>309</v>
      </c>
      <c r="N22" s="30"/>
      <c r="O22" s="6">
        <v>19</v>
      </c>
      <c r="P22" s="20">
        <v>4</v>
      </c>
      <c r="Q22" s="20">
        <v>4</v>
      </c>
    </row>
    <row r="23" spans="1:17">
      <c r="A23" s="8">
        <v>46101</v>
      </c>
      <c r="B23" s="20"/>
      <c r="C23" s="20"/>
      <c r="D23" s="20"/>
      <c r="E23" s="30"/>
      <c r="F23" s="6">
        <v>20</v>
      </c>
      <c r="G23" s="20"/>
      <c r="H23" s="20"/>
      <c r="I23" s="20"/>
      <c r="K23" s="6">
        <v>20</v>
      </c>
      <c r="L23" s="20">
        <v>310</v>
      </c>
      <c r="M23" s="20">
        <v>308</v>
      </c>
      <c r="N23" s="30"/>
      <c r="O23" s="6">
        <v>20</v>
      </c>
      <c r="P23" s="20">
        <v>4</v>
      </c>
      <c r="Q23" s="20">
        <v>4</v>
      </c>
    </row>
    <row r="24" spans="1:17">
      <c r="A24" s="8">
        <v>46102</v>
      </c>
      <c r="B24" s="20"/>
      <c r="C24" s="20"/>
      <c r="D24" s="20"/>
      <c r="E24" s="30"/>
      <c r="F24" s="6">
        <v>21</v>
      </c>
      <c r="G24" s="20"/>
      <c r="H24" s="20"/>
      <c r="I24" s="20"/>
      <c r="K24" s="6">
        <v>21</v>
      </c>
      <c r="L24" s="20">
        <v>310</v>
      </c>
      <c r="M24" s="20">
        <v>308</v>
      </c>
      <c r="N24" s="30"/>
      <c r="O24" s="6">
        <v>21</v>
      </c>
      <c r="P24" s="20">
        <v>4</v>
      </c>
      <c r="Q24" s="20">
        <v>4</v>
      </c>
    </row>
    <row r="25" spans="1:17">
      <c r="A25" s="16">
        <v>46103</v>
      </c>
      <c r="B25" s="26"/>
      <c r="C25" s="26"/>
      <c r="D25" s="26"/>
      <c r="E25" s="30"/>
      <c r="F25" s="6">
        <v>22</v>
      </c>
      <c r="G25" s="26"/>
      <c r="H25" s="26"/>
      <c r="I25" s="26"/>
      <c r="K25" s="6">
        <v>22</v>
      </c>
      <c r="L25" s="26">
        <v>200</v>
      </c>
      <c r="M25" s="26">
        <v>160</v>
      </c>
      <c r="N25" s="30"/>
      <c r="O25" s="6">
        <v>22</v>
      </c>
      <c r="P25" s="26">
        <v>2</v>
      </c>
      <c r="Q25" s="26">
        <v>2</v>
      </c>
    </row>
    <row r="26" spans="1:17">
      <c r="A26" s="8">
        <v>46104</v>
      </c>
      <c r="B26" s="20"/>
      <c r="C26" s="20"/>
      <c r="D26" s="20"/>
      <c r="E26" s="30"/>
      <c r="F26" s="6">
        <v>23</v>
      </c>
      <c r="G26" s="20"/>
      <c r="H26" s="20"/>
      <c r="I26" s="20"/>
      <c r="K26" s="6">
        <v>23</v>
      </c>
      <c r="L26" s="20">
        <v>310</v>
      </c>
      <c r="M26" s="20">
        <v>300</v>
      </c>
      <c r="N26" s="30"/>
      <c r="O26" s="6">
        <v>23</v>
      </c>
      <c r="P26" s="20">
        <v>4</v>
      </c>
      <c r="Q26" s="20">
        <v>4</v>
      </c>
    </row>
    <row r="27" spans="1:17">
      <c r="A27" s="8">
        <v>46105</v>
      </c>
      <c r="B27" s="20">
        <v>300</v>
      </c>
      <c r="C27" s="20">
        <v>300</v>
      </c>
      <c r="D27" s="20">
        <v>300</v>
      </c>
      <c r="E27" s="30"/>
      <c r="F27" s="6">
        <v>24</v>
      </c>
      <c r="G27" s="20"/>
      <c r="H27" s="20"/>
      <c r="I27" s="20"/>
      <c r="K27" s="6">
        <v>24</v>
      </c>
      <c r="L27" s="20">
        <v>310</v>
      </c>
      <c r="M27" s="20">
        <v>300</v>
      </c>
      <c r="N27" s="30"/>
      <c r="O27" s="6">
        <v>24</v>
      </c>
      <c r="P27" s="20">
        <v>4</v>
      </c>
      <c r="Q27" s="20">
        <v>4</v>
      </c>
    </row>
    <row r="28" spans="1:17">
      <c r="A28" s="8">
        <v>46106</v>
      </c>
      <c r="B28" s="20">
        <v>310</v>
      </c>
      <c r="C28" s="20">
        <v>310</v>
      </c>
      <c r="D28" s="20">
        <v>310</v>
      </c>
      <c r="E28" s="30"/>
      <c r="F28" s="6">
        <v>25</v>
      </c>
      <c r="G28" s="20"/>
      <c r="H28" s="20"/>
      <c r="I28" s="20"/>
      <c r="K28" s="6">
        <v>25</v>
      </c>
      <c r="L28" s="20"/>
      <c r="M28" s="20"/>
      <c r="N28" s="30"/>
      <c r="O28" s="6">
        <v>25</v>
      </c>
      <c r="P28" s="20"/>
      <c r="Q28" s="20"/>
    </row>
    <row r="29" spans="1:17">
      <c r="A29" s="8">
        <v>46107</v>
      </c>
      <c r="B29" s="20">
        <v>310</v>
      </c>
      <c r="C29" s="20">
        <v>310</v>
      </c>
      <c r="D29" s="20">
        <v>310</v>
      </c>
      <c r="E29" s="30"/>
      <c r="F29" s="6">
        <v>26</v>
      </c>
      <c r="G29" s="20"/>
      <c r="H29" s="20"/>
      <c r="I29" s="20"/>
      <c r="K29" s="6">
        <v>26</v>
      </c>
      <c r="L29" s="20"/>
      <c r="M29" s="20"/>
      <c r="N29" s="30"/>
      <c r="O29" s="6">
        <v>26</v>
      </c>
      <c r="P29" s="20"/>
      <c r="Q29" s="20"/>
    </row>
    <row r="30" spans="1:17">
      <c r="A30" s="8">
        <v>46108</v>
      </c>
      <c r="B30" s="20">
        <v>310</v>
      </c>
      <c r="C30" s="20">
        <v>310</v>
      </c>
      <c r="D30" s="20">
        <v>310</v>
      </c>
      <c r="E30" s="30"/>
      <c r="F30" s="6">
        <v>27</v>
      </c>
      <c r="G30" s="20"/>
      <c r="H30" s="20"/>
      <c r="I30" s="20"/>
      <c r="K30" s="6">
        <v>27</v>
      </c>
      <c r="L30" s="20"/>
      <c r="M30" s="20"/>
      <c r="N30" s="30"/>
      <c r="O30" s="6">
        <v>27</v>
      </c>
      <c r="P30" s="20"/>
      <c r="Q30" s="20"/>
    </row>
    <row r="31" spans="1:17">
      <c r="A31" s="8">
        <v>46109</v>
      </c>
      <c r="B31" s="20">
        <v>310</v>
      </c>
      <c r="C31" s="20">
        <v>309</v>
      </c>
      <c r="D31" s="20">
        <v>290</v>
      </c>
      <c r="E31" s="30"/>
      <c r="F31" s="6">
        <v>28</v>
      </c>
      <c r="G31" s="20"/>
      <c r="H31" s="20"/>
      <c r="I31" s="20"/>
      <c r="K31" s="6">
        <v>28</v>
      </c>
      <c r="L31" s="20"/>
      <c r="M31" s="20"/>
      <c r="N31" s="30"/>
      <c r="O31" s="6">
        <v>28</v>
      </c>
      <c r="P31" s="20"/>
      <c r="Q31" s="20"/>
    </row>
    <row r="32" spans="1:17">
      <c r="A32" s="16">
        <v>46110</v>
      </c>
      <c r="B32" s="26">
        <v>290</v>
      </c>
      <c r="C32" s="26">
        <v>290</v>
      </c>
      <c r="D32" s="26">
        <v>300</v>
      </c>
      <c r="E32" s="30"/>
      <c r="F32" s="6">
        <v>29</v>
      </c>
      <c r="G32" s="26"/>
      <c r="H32" s="26"/>
      <c r="I32" s="26"/>
      <c r="K32" s="6">
        <v>29</v>
      </c>
      <c r="L32" s="26"/>
      <c r="M32" s="26"/>
      <c r="N32" s="30"/>
      <c r="O32" s="6">
        <v>29</v>
      </c>
      <c r="P32" s="26"/>
      <c r="Q32" s="26"/>
    </row>
    <row r="33" spans="1:17">
      <c r="A33" s="8">
        <v>46111</v>
      </c>
      <c r="B33" s="20">
        <v>300</v>
      </c>
      <c r="C33" s="20">
        <v>310</v>
      </c>
      <c r="D33" s="20">
        <v>310</v>
      </c>
      <c r="E33" s="30"/>
      <c r="F33" s="6">
        <v>30</v>
      </c>
      <c r="G33" s="20"/>
      <c r="H33" s="20"/>
      <c r="I33" s="20"/>
      <c r="K33" s="6">
        <v>30</v>
      </c>
      <c r="L33" s="20"/>
      <c r="M33" s="21"/>
      <c r="N33" s="30"/>
      <c r="O33" s="6">
        <v>30</v>
      </c>
      <c r="P33" s="20"/>
      <c r="Q33" s="20"/>
    </row>
    <row r="34" spans="1:17">
      <c r="A34" s="8">
        <v>46112</v>
      </c>
      <c r="B34" s="20">
        <v>310</v>
      </c>
      <c r="C34" s="20">
        <v>310</v>
      </c>
      <c r="D34" s="20">
        <v>310</v>
      </c>
      <c r="E34" s="30"/>
      <c r="F34" s="6">
        <v>31</v>
      </c>
      <c r="G34" s="20"/>
      <c r="H34" s="20"/>
      <c r="I34" s="20"/>
      <c r="K34" s="6">
        <v>31</v>
      </c>
      <c r="L34" s="20"/>
      <c r="M34" s="21"/>
      <c r="N34" s="30"/>
      <c r="O34" s="6">
        <v>31</v>
      </c>
      <c r="P34" s="20"/>
      <c r="Q34" s="20"/>
    </row>
    <row r="35" spans="1:17">
      <c r="A35" s="23" t="s">
        <v>22</v>
      </c>
      <c r="B35" s="7">
        <f>SUM(B4:B34)</f>
        <v>2440</v>
      </c>
      <c r="C35" s="7">
        <f>SUM(C4:C34)</f>
        <v>2449</v>
      </c>
      <c r="D35" s="7">
        <f>SUM(D4:D34)</f>
        <v>2440</v>
      </c>
      <c r="E35" s="31"/>
      <c r="F35" s="23" t="s">
        <v>22</v>
      </c>
      <c r="G35" s="7">
        <f>SUM(G4:G34)</f>
        <v>0</v>
      </c>
      <c r="H35" s="7">
        <f>SUM(H4:H34)</f>
        <v>0</v>
      </c>
      <c r="I35" s="7">
        <f>SUM(I4:I34)</f>
        <v>0</v>
      </c>
      <c r="K35" s="23" t="s">
        <v>22</v>
      </c>
      <c r="L35" s="22">
        <f>SUM(L4:L34)</f>
        <v>7101</v>
      </c>
      <c r="M35" s="22">
        <f>SUM(M4:M34)</f>
        <v>6815</v>
      </c>
      <c r="N35" s="31"/>
      <c r="O35" s="23" t="s">
        <v>22</v>
      </c>
      <c r="P35" s="22">
        <f>SUM(P4:P34)</f>
        <v>88</v>
      </c>
      <c r="Q35" s="22">
        <f>SUM(Q4:Q34)</f>
        <v>88</v>
      </c>
    </row>
  </sheetData>
  <mergeCells count="10">
    <mergeCell ref="A1:D1"/>
    <mergeCell ref="F1:I1"/>
    <mergeCell ref="A2:D2"/>
    <mergeCell ref="F2:I2"/>
    <mergeCell ref="E1:E35"/>
    <mergeCell ref="N1:N35"/>
    <mergeCell ref="O1:Q1"/>
    <mergeCell ref="K2:M2"/>
    <mergeCell ref="O2:Q2"/>
    <mergeCell ref="K1:M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E26D-05BF-4253-9A90-17F3026D3176}">
  <sheetPr>
    <tabColor theme="8" tint="-0.249977111117893"/>
  </sheetPr>
  <dimension ref="A5:H44"/>
  <sheetViews>
    <sheetView view="pageBreakPreview" topLeftCell="A33" zoomScale="110" zoomScaleNormal="110" zoomScaleSheetLayoutView="110" workbookViewId="0">
      <selection activeCell="B38" sqref="B38:G38"/>
    </sheetView>
  </sheetViews>
  <sheetFormatPr defaultColWidth="10.90625" defaultRowHeight="14.5"/>
  <cols>
    <col min="8" max="8" width="18.1796875" customWidth="1"/>
  </cols>
  <sheetData>
    <row r="5" spans="1:8" ht="21.75" customHeight="1">
      <c r="A5" s="9" t="s">
        <v>39</v>
      </c>
    </row>
    <row r="6" spans="1:8" ht="16.5" customHeight="1">
      <c r="A6" s="47" t="s">
        <v>29</v>
      </c>
      <c r="B6" s="47"/>
      <c r="C6" s="47"/>
      <c r="D6" s="47"/>
      <c r="E6" s="47"/>
      <c r="F6" s="47"/>
      <c r="G6" s="47"/>
      <c r="H6" s="47"/>
    </row>
    <row r="7" spans="1:8" ht="24.75" customHeight="1">
      <c r="A7" s="48" t="s">
        <v>40</v>
      </c>
      <c r="B7" s="48"/>
      <c r="C7" s="48"/>
      <c r="D7" s="48"/>
      <c r="E7" s="48"/>
      <c r="F7" s="48"/>
      <c r="G7" s="48"/>
      <c r="H7" s="48"/>
    </row>
    <row r="8" spans="1:8" ht="17.25" customHeight="1" thickBot="1">
      <c r="A8" s="10" t="s">
        <v>0</v>
      </c>
    </row>
    <row r="9" spans="1:8" ht="24" customHeight="1" thickBot="1">
      <c r="A9" s="54" t="s">
        <v>1</v>
      </c>
      <c r="B9" s="55"/>
      <c r="C9" s="55"/>
      <c r="D9" s="56"/>
      <c r="E9" s="54" t="s">
        <v>2</v>
      </c>
      <c r="F9" s="55"/>
      <c r="G9" s="55"/>
      <c r="H9" s="56"/>
    </row>
    <row r="10" spans="1:8" ht="30" customHeight="1" thickBot="1">
      <c r="A10" s="57" t="s">
        <v>44</v>
      </c>
      <c r="B10" s="58"/>
      <c r="C10" s="58"/>
      <c r="D10" s="59"/>
      <c r="E10" s="51" t="s">
        <v>3</v>
      </c>
      <c r="F10" s="52"/>
      <c r="G10" s="52"/>
      <c r="H10" s="53"/>
    </row>
    <row r="11" spans="1:8" ht="30" customHeight="1" thickBot="1">
      <c r="A11" s="57" t="s">
        <v>45</v>
      </c>
      <c r="B11" s="58"/>
      <c r="C11" s="58"/>
      <c r="D11" s="59"/>
      <c r="E11" s="51" t="s">
        <v>4</v>
      </c>
      <c r="F11" s="52"/>
      <c r="G11" s="52"/>
      <c r="H11" s="53"/>
    </row>
    <row r="12" spans="1:8" ht="4.5" customHeight="1">
      <c r="A12" s="2"/>
      <c r="B12" s="2"/>
      <c r="C12" s="2"/>
      <c r="D12" s="3"/>
      <c r="E12" s="3"/>
      <c r="F12" s="3"/>
      <c r="G12" s="3"/>
    </row>
    <row r="13" spans="1:8" ht="21.75" customHeight="1">
      <c r="A13" s="10" t="s">
        <v>41</v>
      </c>
      <c r="B13" s="11"/>
      <c r="C13" s="11"/>
      <c r="D13" s="11"/>
      <c r="E13" s="11"/>
      <c r="F13" s="11"/>
      <c r="G13" s="11"/>
      <c r="H13" s="11"/>
    </row>
    <row r="14" spans="1:8" ht="21.75" customHeight="1">
      <c r="A14" s="10" t="s">
        <v>33</v>
      </c>
      <c r="B14" s="11"/>
      <c r="C14" s="11"/>
      <c r="D14" s="11"/>
      <c r="E14" s="11"/>
      <c r="F14" s="11"/>
      <c r="G14" s="11"/>
      <c r="H14" s="11"/>
    </row>
    <row r="15" spans="1:8" ht="34.5" customHeight="1">
      <c r="A15" s="41" t="s">
        <v>30</v>
      </c>
      <c r="B15" s="41"/>
      <c r="C15" s="41"/>
      <c r="D15" s="41"/>
      <c r="E15" s="41"/>
      <c r="F15" s="41"/>
      <c r="G15" s="41"/>
      <c r="H15" s="41"/>
    </row>
    <row r="16" spans="1:8" ht="26.15" customHeight="1">
      <c r="A16" s="10" t="s">
        <v>43</v>
      </c>
      <c r="B16" s="11"/>
      <c r="C16" s="11"/>
      <c r="D16" s="11"/>
      <c r="E16" s="11"/>
      <c r="F16" s="11"/>
      <c r="G16" s="11"/>
      <c r="H16" s="11"/>
    </row>
    <row r="17" spans="1:8" ht="44.25" customHeight="1">
      <c r="A17" s="60" t="s">
        <v>42</v>
      </c>
      <c r="B17" s="60"/>
      <c r="C17" s="60"/>
      <c r="D17" s="60"/>
      <c r="E17" s="60"/>
      <c r="F17" s="60"/>
      <c r="G17" s="60"/>
      <c r="H17" s="60"/>
    </row>
    <row r="18" spans="1:8" ht="20.149999999999999" customHeight="1" thickBot="1">
      <c r="A18" s="10" t="s">
        <v>16</v>
      </c>
    </row>
    <row r="19" spans="1:8" ht="25.5" customHeight="1" thickBot="1">
      <c r="A19" s="38" t="s">
        <v>31</v>
      </c>
      <c r="B19" s="39"/>
      <c r="C19" s="39"/>
      <c r="D19" s="40"/>
      <c r="E19" s="38" t="s">
        <v>25</v>
      </c>
      <c r="F19" s="39"/>
      <c r="G19" s="39"/>
      <c r="H19" s="40"/>
    </row>
    <row r="20" spans="1:8" ht="36.75" customHeight="1" thickBot="1">
      <c r="A20" s="14" t="s">
        <v>6</v>
      </c>
      <c r="B20" s="61" t="s">
        <v>7</v>
      </c>
      <c r="C20" s="62"/>
      <c r="D20" s="15" t="s">
        <v>8</v>
      </c>
      <c r="E20" s="61" t="s">
        <v>17</v>
      </c>
      <c r="F20" s="69"/>
      <c r="G20" s="69"/>
      <c r="H20" s="62"/>
    </row>
    <row r="21" spans="1:8" ht="18" thickBot="1">
      <c r="A21" s="12">
        <v>1</v>
      </c>
      <c r="B21" s="49" t="s">
        <v>9</v>
      </c>
      <c r="C21" s="50"/>
      <c r="D21" s="13" t="s">
        <v>10</v>
      </c>
      <c r="E21" s="49">
        <f>'MOIS 01 2026'!B35+'MOIS 02 2026'!B32+'MOIS 03 2026'!B35</f>
        <v>17620</v>
      </c>
      <c r="F21" s="63"/>
      <c r="G21" s="63"/>
      <c r="H21" s="50"/>
    </row>
    <row r="22" spans="1:8" ht="18" thickBot="1">
      <c r="A22" s="12">
        <v>2</v>
      </c>
      <c r="B22" s="49" t="s">
        <v>11</v>
      </c>
      <c r="C22" s="50"/>
      <c r="D22" s="13" t="s">
        <v>10</v>
      </c>
      <c r="E22" s="49">
        <f>'MOIS 01 2026'!C35+'MOIS 02 2026'!C32+'MOIS 03 2026'!C35</f>
        <v>17639</v>
      </c>
      <c r="F22" s="63"/>
      <c r="G22" s="63"/>
      <c r="H22" s="50"/>
    </row>
    <row r="23" spans="1:8" ht="18" thickBot="1">
      <c r="A23" s="12">
        <v>3</v>
      </c>
      <c r="B23" s="49" t="s">
        <v>12</v>
      </c>
      <c r="C23" s="50"/>
      <c r="D23" s="13" t="s">
        <v>10</v>
      </c>
      <c r="E23" s="49">
        <f>'MOIS 01 2026'!D35+'MOIS 02 2026'!D32+'MOIS 03 2026'!D35</f>
        <v>17680</v>
      </c>
      <c r="F23" s="63"/>
      <c r="G23" s="63"/>
      <c r="H23" s="50"/>
    </row>
    <row r="24" spans="1:8" ht="18" thickBot="1">
      <c r="A24" s="12">
        <v>4</v>
      </c>
      <c r="B24" s="49" t="s">
        <v>37</v>
      </c>
      <c r="C24" s="50"/>
      <c r="D24" s="13" t="s">
        <v>10</v>
      </c>
      <c r="E24" s="70">
        <f>'MOIS 03 2026'!L35</f>
        <v>7101</v>
      </c>
      <c r="F24" s="63"/>
      <c r="G24" s="63"/>
      <c r="H24" s="50"/>
    </row>
    <row r="25" spans="1:8" ht="18" thickBot="1">
      <c r="A25" s="12">
        <v>5</v>
      </c>
      <c r="B25" s="49" t="s">
        <v>38</v>
      </c>
      <c r="C25" s="50"/>
      <c r="D25" s="13" t="s">
        <v>10</v>
      </c>
      <c r="E25" s="70">
        <f>'MOIS 03 2026'!M35</f>
        <v>6815</v>
      </c>
      <c r="F25" s="63"/>
      <c r="G25" s="63"/>
      <c r="H25" s="50"/>
    </row>
    <row r="26" spans="1:8" ht="14.25" customHeight="1" thickBot="1">
      <c r="A26" s="42"/>
      <c r="B26" s="43"/>
      <c r="C26" s="43"/>
      <c r="D26" s="43"/>
      <c r="E26" s="43"/>
      <c r="F26" s="43"/>
      <c r="G26" s="43"/>
      <c r="H26" s="44"/>
    </row>
    <row r="27" spans="1:8" ht="5.25" customHeight="1" thickBot="1">
      <c r="A27" s="45"/>
      <c r="B27" s="45"/>
      <c r="C27" s="45"/>
      <c r="D27" s="45"/>
      <c r="E27" s="46"/>
      <c r="F27" s="46"/>
      <c r="G27" s="46"/>
      <c r="H27" s="4"/>
    </row>
    <row r="28" spans="1:8" ht="26.25" customHeight="1" thickBot="1">
      <c r="A28" s="38" t="s">
        <v>5</v>
      </c>
      <c r="B28" s="39"/>
      <c r="C28" s="39"/>
      <c r="D28" s="40"/>
      <c r="E28" s="38" t="s">
        <v>26</v>
      </c>
      <c r="F28" s="39"/>
      <c r="G28" s="39"/>
      <c r="H28" s="40"/>
    </row>
    <row r="29" spans="1:8" ht="35.25" customHeight="1" thickBot="1">
      <c r="A29" s="14" t="s">
        <v>6</v>
      </c>
      <c r="B29" s="61" t="s">
        <v>7</v>
      </c>
      <c r="C29" s="62"/>
      <c r="D29" s="15" t="s">
        <v>8</v>
      </c>
      <c r="E29" s="61" t="s">
        <v>17</v>
      </c>
      <c r="F29" s="69"/>
      <c r="G29" s="69"/>
      <c r="H29" s="62"/>
    </row>
    <row r="30" spans="1:8" ht="18.75" customHeight="1" thickBot="1">
      <c r="A30" s="12">
        <v>1</v>
      </c>
      <c r="B30" s="49" t="s">
        <v>9</v>
      </c>
      <c r="C30" s="50"/>
      <c r="D30" s="13" t="s">
        <v>10</v>
      </c>
      <c r="E30" s="49">
        <f>'MOIS 01 2026'!G35+'MOIS 02 2026'!G32+'MOIS 03 2026'!G35</f>
        <v>187</v>
      </c>
      <c r="F30" s="63"/>
      <c r="G30" s="63"/>
      <c r="H30" s="50"/>
    </row>
    <row r="31" spans="1:8" ht="18.75" customHeight="1" thickBot="1">
      <c r="A31" s="12"/>
      <c r="B31" s="49" t="s">
        <v>11</v>
      </c>
      <c r="C31" s="50"/>
      <c r="D31" s="13" t="s">
        <v>10</v>
      </c>
      <c r="E31" s="49">
        <f>'MOIS 01 2026'!H35+'MOIS 02 2026'!H32+'MOIS 03 2026'!H35</f>
        <v>192</v>
      </c>
      <c r="F31" s="63"/>
      <c r="G31" s="63"/>
      <c r="H31" s="50"/>
    </row>
    <row r="32" spans="1:8" ht="18.75" customHeight="1" thickBot="1">
      <c r="A32" s="12"/>
      <c r="B32" s="49" t="s">
        <v>12</v>
      </c>
      <c r="C32" s="50"/>
      <c r="D32" s="13" t="s">
        <v>10</v>
      </c>
      <c r="E32" s="49">
        <f>'MOIS 01 2026'!I35+'MOIS 02 2026'!I32+'MOIS 03 2026'!I35</f>
        <v>198</v>
      </c>
      <c r="F32" s="63"/>
      <c r="G32" s="63"/>
      <c r="H32" s="50"/>
    </row>
    <row r="33" spans="1:8" ht="18.75" customHeight="1" thickBot="1">
      <c r="A33" s="12">
        <v>2</v>
      </c>
      <c r="B33" s="49" t="s">
        <v>37</v>
      </c>
      <c r="C33" s="50"/>
      <c r="D33" s="13" t="s">
        <v>10</v>
      </c>
      <c r="E33" s="70">
        <f>'MOIS 03 2026'!P35</f>
        <v>88</v>
      </c>
      <c r="F33" s="63"/>
      <c r="G33" s="63"/>
      <c r="H33" s="50"/>
    </row>
    <row r="34" spans="1:8" ht="18.75" customHeight="1" thickBot="1">
      <c r="A34" s="12">
        <v>3</v>
      </c>
      <c r="B34" s="49" t="s">
        <v>38</v>
      </c>
      <c r="C34" s="50"/>
      <c r="D34" s="13" t="s">
        <v>10</v>
      </c>
      <c r="E34" s="70">
        <f>'MOIS 03 2026'!Q35</f>
        <v>88</v>
      </c>
      <c r="F34" s="63"/>
      <c r="G34" s="63"/>
      <c r="H34" s="50"/>
    </row>
    <row r="35" spans="1:8" ht="13.5" customHeight="1" thickBot="1">
      <c r="A35" s="42"/>
      <c r="B35" s="43"/>
      <c r="C35" s="43"/>
      <c r="D35" s="43"/>
      <c r="E35" s="43"/>
      <c r="F35" s="43"/>
      <c r="G35" s="43"/>
      <c r="H35" s="44"/>
    </row>
    <row r="36" spans="1:8" ht="16" thickBot="1">
      <c r="A36" s="67" t="s">
        <v>32</v>
      </c>
      <c r="B36" s="67"/>
      <c r="C36" s="67"/>
      <c r="D36" s="67"/>
      <c r="E36" s="67"/>
      <c r="F36" s="67"/>
      <c r="G36" s="67"/>
      <c r="H36" s="67"/>
    </row>
    <row r="37" spans="1:8" ht="37.5" customHeight="1" thickBot="1">
      <c r="A37" s="64" t="s">
        <v>34</v>
      </c>
      <c r="B37" s="65"/>
      <c r="C37" s="65"/>
      <c r="D37" s="65"/>
      <c r="E37" s="65"/>
      <c r="F37" s="65"/>
      <c r="G37" s="65"/>
      <c r="H37" s="66"/>
    </row>
    <row r="38" spans="1:8" ht="20">
      <c r="A38" s="11"/>
      <c r="B38" s="71" t="s">
        <v>46</v>
      </c>
      <c r="C38" s="71"/>
      <c r="D38" s="71"/>
      <c r="E38" s="71"/>
      <c r="F38" s="71"/>
      <c r="G38" s="71"/>
      <c r="H38" s="11"/>
    </row>
    <row r="39" spans="1:8" ht="6.75" customHeight="1" thickBot="1">
      <c r="B39" s="1"/>
    </row>
    <row r="40" spans="1:8" ht="28.5" customHeight="1" thickBot="1">
      <c r="A40" s="81" t="s">
        <v>13</v>
      </c>
      <c r="B40" s="82"/>
      <c r="C40" s="82"/>
      <c r="D40" s="83"/>
      <c r="E40" s="81" t="s">
        <v>14</v>
      </c>
      <c r="F40" s="82"/>
      <c r="G40" s="82"/>
      <c r="H40" s="83"/>
    </row>
    <row r="41" spans="1:8" ht="15" customHeight="1">
      <c r="A41" s="72"/>
      <c r="B41" s="73"/>
      <c r="C41" s="73"/>
      <c r="D41" s="74"/>
      <c r="E41" s="72"/>
      <c r="F41" s="73"/>
      <c r="G41" s="73"/>
      <c r="H41" s="74"/>
    </row>
    <row r="42" spans="1:8" ht="15" customHeight="1">
      <c r="A42" s="75"/>
      <c r="B42" s="76"/>
      <c r="C42" s="76"/>
      <c r="D42" s="77"/>
      <c r="E42" s="75"/>
      <c r="F42" s="76"/>
      <c r="G42" s="76"/>
      <c r="H42" s="77"/>
    </row>
    <row r="43" spans="1:8" ht="23.25" customHeight="1" thickBot="1">
      <c r="A43" s="78"/>
      <c r="B43" s="79"/>
      <c r="C43" s="79"/>
      <c r="D43" s="80"/>
      <c r="E43" s="78"/>
      <c r="F43" s="79"/>
      <c r="G43" s="79"/>
      <c r="H43" s="80"/>
    </row>
    <row r="44" spans="1:8" ht="20">
      <c r="A44" s="68" t="s">
        <v>15</v>
      </c>
      <c r="B44" s="68"/>
      <c r="C44" s="68"/>
      <c r="D44" s="68"/>
      <c r="E44" s="68"/>
    </row>
  </sheetData>
  <mergeCells count="50">
    <mergeCell ref="A44:E44"/>
    <mergeCell ref="E20:H20"/>
    <mergeCell ref="E21:H21"/>
    <mergeCell ref="E24:H24"/>
    <mergeCell ref="E25:H25"/>
    <mergeCell ref="E29:H29"/>
    <mergeCell ref="E30:H30"/>
    <mergeCell ref="E33:H33"/>
    <mergeCell ref="E34:H34"/>
    <mergeCell ref="E28:H28"/>
    <mergeCell ref="B38:G38"/>
    <mergeCell ref="E41:H43"/>
    <mergeCell ref="A41:D43"/>
    <mergeCell ref="B25:C25"/>
    <mergeCell ref="E40:H40"/>
    <mergeCell ref="A40:D40"/>
    <mergeCell ref="A37:H37"/>
    <mergeCell ref="A36:H36"/>
    <mergeCell ref="B29:C29"/>
    <mergeCell ref="B30:C30"/>
    <mergeCell ref="A35:H35"/>
    <mergeCell ref="B33:C33"/>
    <mergeCell ref="B34:C34"/>
    <mergeCell ref="B31:C31"/>
    <mergeCell ref="B32:C32"/>
    <mergeCell ref="E31:H31"/>
    <mergeCell ref="E32:H32"/>
    <mergeCell ref="A6:H6"/>
    <mergeCell ref="A7:H7"/>
    <mergeCell ref="B24:C24"/>
    <mergeCell ref="E11:H11"/>
    <mergeCell ref="A9:D9"/>
    <mergeCell ref="A10:D10"/>
    <mergeCell ref="A11:D11"/>
    <mergeCell ref="A17:H17"/>
    <mergeCell ref="B21:C21"/>
    <mergeCell ref="E9:H9"/>
    <mergeCell ref="E10:H10"/>
    <mergeCell ref="B20:C20"/>
    <mergeCell ref="B22:C22"/>
    <mergeCell ref="E22:H22"/>
    <mergeCell ref="B23:C23"/>
    <mergeCell ref="E23:H23"/>
    <mergeCell ref="A19:D19"/>
    <mergeCell ref="E19:H19"/>
    <mergeCell ref="A15:H15"/>
    <mergeCell ref="A26:H26"/>
    <mergeCell ref="A28:D28"/>
    <mergeCell ref="A27:D27"/>
    <mergeCell ref="E27:G27"/>
  </mergeCells>
  <printOptions horizontalCentered="1"/>
  <pageMargins left="3.937007874015748E-2" right="3.937007874015748E-2" top="0.15748031496062992" bottom="0.15748031496062992" header="0" footer="0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MOIS 01 2026</vt:lpstr>
      <vt:lpstr>MOIS 02 2026</vt:lpstr>
      <vt:lpstr>MOIS 03 2026</vt:lpstr>
      <vt:lpstr>RECAP A IMPRIMER</vt:lpstr>
      <vt:lpstr>'RECAP A IMPRIMER'!Print_Area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BOUCHOUARI ABDELLAH</cp:lastModifiedBy>
  <cp:lastPrinted>2026-03-04T12:06:27Z</cp:lastPrinted>
  <dcterms:created xsi:type="dcterms:W3CDTF">2023-04-11T11:09:04Z</dcterms:created>
  <dcterms:modified xsi:type="dcterms:W3CDTF">2026-03-30T12:14:31Z</dcterms:modified>
</cp:coreProperties>
</file>